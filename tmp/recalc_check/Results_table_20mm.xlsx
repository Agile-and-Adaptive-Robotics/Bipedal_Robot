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4175" yWindow="-16320" windowWidth="29040" windowHeight="15720" tabRatio="600" firstSheet="3" activeTab="6" autoFilterDateGrouping="1"/>
  </bookViews>
  <sheets>
    <sheet xmlns:r="http://schemas.openxmlformats.org/officeDocument/2006/relationships" name="ExtTest40mm_1" sheetId="1" state="visible" r:id="rId1"/>
    <sheet xmlns:r="http://schemas.openxmlformats.org/officeDocument/2006/relationships" name="ExtTest40mm_2" sheetId="2" state="visible" r:id="rId2"/>
    <sheet xmlns:r="http://schemas.openxmlformats.org/officeDocument/2006/relationships" name="ExtTest20mm_1" sheetId="3" state="visible" r:id="rId3"/>
    <sheet xmlns:r="http://schemas.openxmlformats.org/officeDocument/2006/relationships" name="FlxTest20mm_42cm" sheetId="4" state="visible" r:id="rId4"/>
    <sheet xmlns:r="http://schemas.openxmlformats.org/officeDocument/2006/relationships" name="FlxTest20mm_39cm" sheetId="5" state="visible" r:id="rId5"/>
    <sheet xmlns:r="http://schemas.openxmlformats.org/officeDocument/2006/relationships" name="FlxTest20mm_39cm (2)" sheetId="6" state="visible" r:id="rId6"/>
    <sheet xmlns:r="http://schemas.openxmlformats.org/officeDocument/2006/relationships" name="FlxTest20mm_42cm (2)" sheetId="7" state="visible" r:id="rId7"/>
    <sheet xmlns:r="http://schemas.openxmlformats.org/officeDocument/2006/relationships" name="FlxTest20mm_42cm (3)" sheetId="8" state="visible" r:id="rId8"/>
    <sheet xmlns:r="http://schemas.openxmlformats.org/officeDocument/2006/relationships" name="FlxTest20mm_51cm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FCAFF"/>
        <bgColor indexed="64"/>
      </patternFill>
    </fill>
    <fill>
      <patternFill patternType="solid">
        <fgColor rgb="FFCEBBDD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8" pivotButton="0" quotePrefix="0" xfId="0"/>
    <xf numFmtId="0" fontId="0" fillId="0" borderId="1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9" pivotButton="0" quotePrefix="0" xfId="0"/>
    <xf numFmtId="0" fontId="1" fillId="0" borderId="11" pivotButton="0" quotePrefix="0" xfId="0"/>
    <xf numFmtId="0" fontId="1" fillId="0" borderId="3" pivotButton="0" quotePrefix="0" xfId="0"/>
    <xf numFmtId="0" fontId="1" fillId="0" borderId="5" pivotButton="0" quotePrefix="0" xfId="0"/>
    <xf numFmtId="0" fontId="1" fillId="0" borderId="7" pivotButton="0" quotePrefix="0" xfId="0"/>
    <xf numFmtId="0" fontId="1" fillId="0" borderId="12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6" pivotButton="0" quotePrefix="0" xfId="0"/>
    <xf numFmtId="0" fontId="1" fillId="0" borderId="0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3" borderId="9" pivotButton="0" quotePrefix="0" xfId="0"/>
    <xf numFmtId="0" fontId="0" fillId="2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3" borderId="15" pivotButton="0" quotePrefix="0" xfId="0"/>
    <xf numFmtId="0" fontId="1" fillId="2" borderId="15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0" borderId="18" pivotButton="0" quotePrefix="0" xfId="0"/>
    <xf numFmtId="0" fontId="0" fillId="3" borderId="19" pivotButton="0" quotePrefix="0" xfId="0"/>
    <xf numFmtId="0" fontId="0" fillId="2" borderId="19" pivotButton="0" quotePrefix="0" xfId="0"/>
    <xf numFmtId="0" fontId="0" fillId="0" borderId="17" pivotButton="0" quotePrefix="0" xfId="0"/>
    <xf numFmtId="0" fontId="1" fillId="0" borderId="20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 mm Extensor Torque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100 kPa</v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ExtTest40mm_1!$C$7:$I$7</f>
              <numCache>
                <formatCode>General</formatCode>
                <ptCount val="7"/>
                <pt idx="0">
                  <v>-117</v>
                </pt>
                <pt idx="1">
                  <v>-106</v>
                </pt>
                <pt idx="2">
                  <v>-96</v>
                </pt>
                <pt idx="3">
                  <v>-66.5</v>
                </pt>
                <pt idx="4">
                  <v>-74.5</v>
                </pt>
                <pt idx="5">
                  <v>-85.5</v>
                </pt>
                <pt idx="6">
                  <v>-53.5</v>
                </pt>
              </numCache>
            </numRef>
          </xVal>
          <yVal>
            <numRef>
              <f>ExtTest40mm_1!$C$16:$I$16</f>
              <numCache>
                <formatCode>General</formatCode>
                <ptCount val="7"/>
                <pt idx="0">
                  <v>6.853017236402639</v>
                </pt>
                <pt idx="1">
                  <v>3.0616448382429</v>
                </pt>
                <pt idx="2">
                  <v>1.756743485543256</v>
                </pt>
                <pt idx="3">
                  <v>0.4287530042789608</v>
                </pt>
                <pt idx="4">
                  <v>0.96291824494656</v>
                </pt>
                <pt idx="5">
                  <v>1.433251368904098</v>
                </pt>
                <pt idx="6">
                  <v>0.3530978236930717</v>
                </pt>
              </numCache>
            </numRef>
          </yVal>
          <smooth val="0"/>
        </ser>
        <ser>
          <idx val="1"/>
          <order val="1"/>
          <tx>
            <v>230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ExtTest40mm_1!$J$7:$N$7</f>
              <numCache>
                <formatCode>General</formatCode>
                <ptCount val="5"/>
                <pt idx="0">
                  <v>-53.5</v>
                </pt>
                <pt idx="1">
                  <v>-17</v>
                </pt>
                <pt idx="2">
                  <v>-17</v>
                </pt>
                <pt idx="3">
                  <v>-42.5</v>
                </pt>
                <pt idx="4">
                  <v>-30</v>
                </pt>
              </numCache>
            </numRef>
          </xVal>
          <yVal>
            <numRef>
              <f>ExtTest40mm_1!$J$16:$N$16</f>
              <numCache>
                <formatCode>General</formatCode>
                <ptCount val="5"/>
                <pt idx="0">
                  <v>6.22529896193993</v>
                </pt>
                <pt idx="1">
                  <v>1.054104655841527</v>
                </pt>
                <pt idx="2">
                  <v>1.235368116067078</v>
                </pt>
                <pt idx="3">
                  <v>6.042042931112827</v>
                </pt>
                <pt idx="4">
                  <v>3.234337400609471</v>
                </pt>
              </numCache>
            </numRef>
          </yVal>
          <smooth val="0"/>
        </ser>
        <ser>
          <idx val="2"/>
          <order val="2"/>
          <tx>
            <v>380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ExtTest40mm_1!$O$7:$P$7</f>
              <numCache>
                <formatCode>General</formatCode>
                <ptCount val="2"/>
                <pt idx="0">
                  <v>-6</v>
                </pt>
                <pt idx="1">
                  <v>6.5</v>
                </pt>
              </numCache>
            </numRef>
          </xVal>
          <yVal>
            <numRef>
              <f>ExtTest40mm_1!$O$16:$P$16</f>
              <numCache>
                <formatCode>General</formatCode>
                <ptCount val="2"/>
                <pt idx="0">
                  <v>10.36051915373843</v>
                </pt>
                <pt idx="1">
                  <v>6.080949805510372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31048063"/>
        <axId val="531049727"/>
      </scatterChart>
      <valAx>
        <axId val="531048063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31049727"/>
        <crosses val="autoZero"/>
        <crossBetween val="midCat"/>
      </valAx>
      <valAx>
        <axId val="53104972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31048063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 mm Extensor Torque</a:t>
            </a:r>
          </a:p>
        </rich>
      </tx>
    </title>
    <plotArea>
      <scatterChart>
        <scatterStyle val="lineMarker"/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'ExtTest20mm_1'!$C$7:$X$7</f>
            </numRef>
          </xVal>
          <yVal>
            <numRef>
              <f>'ExtTest20mm_1'!$C$16:$X$16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500 kPA</v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poly"/>
            <order val="2"/>
            <dispRSqr val="1"/>
            <dispEq val="1"/>
            <trendlineLbl>
              <layout>
                <manualLayout>
                  <wMode val="factor"/>
                  <hMode val="factor"/>
                  <x val="0.1119411636045494"/>
                  <y val="0.2778517789442986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FlxTest20mm_42cm!$M$7:$Q$7</f>
              <numCache>
                <formatCode>General</formatCode>
                <ptCount val="5"/>
                <pt idx="0">
                  <v>-73.5</v>
                </pt>
                <pt idx="1">
                  <v>-82</v>
                </pt>
                <pt idx="2">
                  <v>-88</v>
                </pt>
                <pt idx="3">
                  <v>-103.5</v>
                </pt>
                <pt idx="4">
                  <v>-114</v>
                </pt>
              </numCache>
            </numRef>
          </xVal>
          <yVal>
            <numRef>
              <f>FlxTest20mm_42cm!$M$16:$Q$16</f>
              <numCache>
                <formatCode>General</formatCode>
                <ptCount val="5"/>
                <pt idx="0">
                  <v>-5.680697770814931</v>
                </pt>
                <pt idx="1">
                  <v>-4.039259835275388</v>
                </pt>
                <pt idx="2">
                  <v>-3.251378339969439</v>
                </pt>
                <pt idx="3">
                  <v>-1.326357901725923</v>
                </pt>
                <pt idx="4">
                  <v>-0.7059894732062119</v>
                </pt>
              </numCache>
            </numRef>
          </yVal>
          <smooth val="0"/>
        </ser>
        <ser>
          <idx val="1"/>
          <order val="1"/>
          <tx>
            <v>300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poly"/>
            <order val="2"/>
            <dispRSqr val="1"/>
            <dispEq val="1"/>
            <trendlineLbl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FlxTest20mm_42cm!$C$7:$L$7</f>
              <numCache>
                <formatCode>General</formatCode>
                <ptCount val="10"/>
                <pt idx="0">
                  <v>-2</v>
                </pt>
                <pt idx="1">
                  <v>-11.5</v>
                </pt>
                <pt idx="2">
                  <v>-20</v>
                </pt>
                <pt idx="3">
                  <v>-27</v>
                </pt>
                <pt idx="4">
                  <v>-35</v>
                </pt>
                <pt idx="5">
                  <v>-44</v>
                </pt>
                <pt idx="6">
                  <v>-54.5</v>
                </pt>
                <pt idx="7">
                  <v>-50</v>
                </pt>
                <pt idx="8">
                  <v>-63</v>
                </pt>
                <pt idx="9">
                  <v>-64</v>
                </pt>
              </numCache>
            </numRef>
          </xVal>
          <yVal>
            <numRef>
              <f>FlxTest20mm_42cm!$C$16:$L$16</f>
              <numCache>
                <formatCode>General</formatCode>
                <ptCount val="10"/>
                <pt idx="0">
                  <v>-9.952075229283874</v>
                </pt>
                <pt idx="1">
                  <v>-8.309776190397633</v>
                </pt>
                <pt idx="2">
                  <v>-6.937208540574834</v>
                </pt>
                <pt idx="3">
                  <v>-5.83121108031111</v>
                </pt>
                <pt idx="4">
                  <v>-4.652816908258585</v>
                </pt>
                <pt idx="5">
                  <v>-3.594317471626425</v>
                </pt>
                <pt idx="6">
                  <v>-3.575454452511314</v>
                </pt>
                <pt idx="7">
                  <v>-3.026551476714127</v>
                </pt>
                <pt idx="8">
                  <v>-2.199767728579054</v>
                </pt>
                <pt idx="9">
                  <v>-0.9221033389832194</v>
                </pt>
              </numCache>
            </numRef>
          </yVal>
          <smooth val="0"/>
        </ser>
        <ser>
          <idx val="2"/>
          <order val="2"/>
          <tx>
            <v>620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3"/>
                </a:solidFill>
                <a:prstDash val="sysDot"/>
              </a:ln>
            </spPr>
            <trendlineType val="poly"/>
            <order val="2"/>
            <dispRSqr val="1"/>
            <dispEq val="1"/>
            <trendlineLbl>
              <layout>
                <manualLayout>
                  <wMode val="factor"/>
                  <hMode val="factor"/>
                  <x val="0.05833333333333333"/>
                  <y val="0.3788969087197434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FlxTest20mm_42cm!$R$7:$S$7</f>
              <numCache>
                <formatCode>General</formatCode>
                <ptCount val="2"/>
                <pt idx="0">
                  <v>-115</v>
                </pt>
                <pt idx="1">
                  <v>-120</v>
                </pt>
              </numCache>
            </numRef>
          </xVal>
          <yVal>
            <numRef>
              <f>FlxTest20mm_42cm!$R$16:$S$16</f>
              <numCache>
                <formatCode>General</formatCode>
                <ptCount val="2"/>
                <pt idx="0">
                  <v>-1.826208161538696</v>
                </pt>
                <pt idx="1">
                  <v>-1.093715312988613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1401968"/>
        <axId val="1221403632"/>
      </scatterChart>
      <valAx>
        <axId val="12214019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1403632"/>
        <crosses val="autoZero"/>
        <crossBetween val="midCat"/>
      </valAx>
      <valAx>
        <axId val="12214036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140196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500 kPA</v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poly"/>
            <order val="2"/>
            <dispRSqr val="1"/>
            <dispEq val="1"/>
            <trendlineLbl>
              <layout>
                <manualLayout>
                  <wMode val="factor"/>
                  <hMode val="factor"/>
                  <x val="0.1119411636045494"/>
                  <y val="0.2778517789442986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FlxTest20mm_39cm!$M$7:$Q$7</f>
              <numCache>
                <formatCode>General</formatCode>
                <ptCount val="5"/>
              </numCache>
            </numRef>
          </xVal>
          <yVal>
            <numRef>
              <f>FlxTest20mm_39cm!$M$16:$Q$16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yVal>
          <smooth val="0"/>
        </ser>
        <ser>
          <idx val="1"/>
          <order val="1"/>
          <tx>
            <v>300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poly"/>
            <order val="2"/>
            <dispRSqr val="0"/>
            <dispEq val="0"/>
          </trendline>
          <xVal>
            <numRef>
              <f>FlxTest20mm_39cm!$C$7:$L$7</f>
              <numCache>
                <formatCode>General</formatCode>
                <ptCount val="10"/>
                <pt idx="0">
                  <v>-124</v>
                </pt>
                <pt idx="1">
                  <v>-98.5</v>
                </pt>
                <pt idx="2">
                  <v>-118.5</v>
                </pt>
                <pt idx="3">
                  <v>-111</v>
                </pt>
                <pt idx="4">
                  <v>-90</v>
                </pt>
                <pt idx="5">
                  <v>-75</v>
                </pt>
                <pt idx="6">
                  <v>-64</v>
                </pt>
              </numCache>
            </numRef>
          </xVal>
          <yVal>
            <numRef>
              <f>FlxTest20mm_39cm!$C$16:$L$16</f>
              <numCache>
                <formatCode>General</formatCode>
                <ptCount val="10"/>
                <pt idx="0">
                  <v>-5.65418333713887</v>
                </pt>
                <pt idx="1">
                  <v>-11.41608231931691</v>
                </pt>
                <pt idx="2">
                  <v>-5.708041159658457</v>
                </pt>
                <pt idx="3">
                  <v>-10.21814781489178</v>
                </pt>
                <pt idx="4">
                  <v>-13.9377679354735</v>
                </pt>
                <pt idx="5">
                  <v>-17.29811651335838</v>
                </pt>
                <pt idx="6">
                  <v>-20.39849590659429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yVal>
          <smooth val="0"/>
        </ser>
        <ser>
          <idx val="2"/>
          <order val="2"/>
          <tx>
            <v>620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3"/>
                </a:solidFill>
                <a:prstDash val="sysDot"/>
              </a:ln>
            </spPr>
            <trendlineType val="poly"/>
            <order val="2"/>
            <dispRSqr val="1"/>
            <dispEq val="1"/>
            <trendlineLbl>
              <layout>
                <manualLayout>
                  <wMode val="factor"/>
                  <hMode val="factor"/>
                  <x val="0.05833333333333333"/>
                  <y val="0.3788969087197434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FlxTest20mm_39cm!$R$7:$S$7</f>
              <numCache>
                <formatCode>General</formatCode>
                <ptCount val="2"/>
              </numCache>
            </numRef>
          </xVal>
          <yVal>
            <numRef>
              <f>FlxTest20mm_39cm!$R$16:$S$16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1401968"/>
        <axId val="1221403632"/>
      </scatterChart>
      <valAx>
        <axId val="12214019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1403632"/>
        <crosses val="autoZero"/>
        <crossBetween val="midCat"/>
      </valAx>
      <valAx>
        <axId val="12214036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140196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500 kPA</v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poly"/>
            <order val="2"/>
            <dispRSqr val="1"/>
            <dispEq val="1"/>
            <trendlineLbl>
              <layout>
                <manualLayout>
                  <wMode val="factor"/>
                  <hMode val="factor"/>
                  <x val="0.1119411636045494"/>
                  <y val="0.2778517789442986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'FlxTest20mm_39cm (2)'!$M$7:$Q$7</f>
              <numCache>
                <formatCode>General</formatCode>
                <ptCount val="5"/>
              </numCache>
            </numRef>
          </xVal>
          <yVal>
            <numRef>
              <f>'FlxTest20mm_39cm (2)'!$M$16:$Q$16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yVal>
          <smooth val="0"/>
        </ser>
        <ser>
          <idx val="1"/>
          <order val="1"/>
          <tx>
            <v>300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poly"/>
            <order val="2"/>
            <dispRSqr val="0"/>
            <dispEq val="0"/>
          </trendline>
          <xVal>
            <numRef>
              <f>'FlxTest20mm_39cm (2)'!$C$7:$L$7</f>
              <numCache>
                <formatCode>General</formatCode>
                <ptCount val="10"/>
                <pt idx="0">
                  <v>-125</v>
                </pt>
                <pt idx="1">
                  <v>-112</v>
                </pt>
                <pt idx="2">
                  <v>-91.5</v>
                </pt>
                <pt idx="3">
                  <v>-75</v>
                </pt>
              </numCache>
            </numRef>
          </xVal>
          <yVal>
            <numRef>
              <f>'FlxTest20mm_39cm (2)'!$C$16:$L$16</f>
              <numCache>
                <formatCode>General</formatCode>
                <ptCount val="10"/>
                <pt idx="0">
                  <v>-3.207436217799529</v>
                </pt>
                <pt idx="1">
                  <v>-8.782748853799687</v>
                </pt>
                <pt idx="2">
                  <v>-11.48990190966988</v>
                </pt>
                <pt idx="3">
                  <v>-16.17202621162098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yVal>
          <smooth val="0"/>
        </ser>
        <ser>
          <idx val="2"/>
          <order val="2"/>
          <tx>
            <v>620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3"/>
                </a:solidFill>
                <a:prstDash val="sysDot"/>
              </a:ln>
            </spPr>
            <trendlineType val="poly"/>
            <order val="2"/>
            <dispRSqr val="1"/>
            <dispEq val="1"/>
            <trendlineLbl>
              <layout>
                <manualLayout>
                  <wMode val="factor"/>
                  <hMode val="factor"/>
                  <x val="0.05833333333333333"/>
                  <y val="0.3788969087197434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'FlxTest20mm_39cm (2)'!$R$7:$S$7</f>
              <numCache>
                <formatCode>General</formatCode>
                <ptCount val="2"/>
              </numCache>
            </numRef>
          </xVal>
          <yVal>
            <numRef>
              <f>'FlxTest20mm_39cm (2)'!$R$16:$S$16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1401968"/>
        <axId val="1221403632"/>
      </scatterChart>
      <valAx>
        <axId val="12214019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1403632"/>
        <crosses val="autoZero"/>
        <crossBetween val="midCat"/>
      </valAx>
      <valAx>
        <axId val="12214036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140196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500 kPA</v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poly"/>
            <order val="2"/>
            <dispRSqr val="1"/>
            <dispEq val="1"/>
            <trendlineLbl>
              <layout>
                <manualLayout>
                  <wMode val="factor"/>
                  <hMode val="factor"/>
                  <x val="0.1119411636045494"/>
                  <y val="0.2778517789442986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'FlxTest20mm_42cm (2)'!$M$7:$Q$7</f>
              <numCache>
                <formatCode>General</formatCode>
                <ptCount val="5"/>
              </numCache>
            </numRef>
          </xVal>
          <yVal>
            <numRef>
              <f>'FlxTest20mm_42cm (2)'!$M$16:$Q$16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yVal>
          <smooth val="0"/>
        </ser>
        <ser>
          <idx val="1"/>
          <order val="1"/>
          <tx>
            <v>300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poly"/>
            <order val="2"/>
            <dispRSqr val="0"/>
            <dispEq val="0"/>
          </trendline>
          <xVal>
            <numRef>
              <f>'FlxTest20mm_42cm (2)'!$C$7:$L$7</f>
              <numCache>
                <formatCode>General</formatCode>
                <ptCount val="10"/>
                <pt idx="0">
                  <v>-125</v>
                </pt>
                <pt idx="1">
                  <v>-112</v>
                </pt>
                <pt idx="2">
                  <v>-93</v>
                </pt>
                <pt idx="3">
                  <v>-80</v>
                </pt>
                <pt idx="4">
                  <v>-75</v>
                </pt>
                <pt idx="5">
                  <v>-52</v>
                </pt>
                <pt idx="6">
                  <v>-42</v>
                </pt>
                <pt idx="7">
                  <v>-32</v>
                </pt>
              </numCache>
            </numRef>
          </xVal>
          <yVal>
            <numRef>
              <f>'FlxTest20mm_42cm (2)'!$C$16:$L$16</f>
              <numCache>
                <formatCode>General</formatCode>
                <ptCount val="10"/>
                <pt idx="0">
                  <v>-1.57020567776687</v>
                </pt>
                <pt idx="1">
                  <v>-6.030536714752474</v>
                </pt>
                <pt idx="2">
                  <v>-10.04941569344535</v>
                </pt>
                <pt idx="3">
                  <v>-14.46210437920551</v>
                </pt>
                <pt idx="4">
                  <v>-18.54620852024544</v>
                </pt>
                <pt idx="5">
                  <v>-22.51992378608056</v>
                </pt>
                <pt idx="6">
                  <v>-25.52550181657196</v>
                </pt>
                <pt idx="7">
                  <v>-26.99947549574569</v>
                </pt>
                <pt idx="8">
                  <v>0</v>
                </pt>
                <pt idx="9">
                  <v>0</v>
                </pt>
              </numCache>
            </numRef>
          </yVal>
          <smooth val="0"/>
        </ser>
        <ser>
          <idx val="2"/>
          <order val="2"/>
          <tx>
            <v>620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3"/>
                </a:solidFill>
                <a:prstDash val="sysDot"/>
              </a:ln>
            </spPr>
            <trendlineType val="poly"/>
            <order val="2"/>
            <dispRSqr val="1"/>
            <dispEq val="1"/>
            <trendlineLbl>
              <layout>
                <manualLayout>
                  <wMode val="factor"/>
                  <hMode val="factor"/>
                  <x val="0.05833333333333333"/>
                  <y val="0.3788969087197434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'FlxTest20mm_42cm (2)'!$R$7:$S$7</f>
              <numCache>
                <formatCode>General</formatCode>
                <ptCount val="2"/>
              </numCache>
            </numRef>
          </xVal>
          <yVal>
            <numRef>
              <f>'FlxTest20mm_42cm (2)'!$R$16:$S$16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1401968"/>
        <axId val="1221403632"/>
      </scatterChart>
      <valAx>
        <axId val="12214019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1403632"/>
        <crosses val="autoZero"/>
        <crossBetween val="midCat"/>
      </valAx>
      <valAx>
        <axId val="12214036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140196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'FlxTest20mm_42cm (3)'!$N$7:$AD$7</f>
              <numCache>
                <formatCode>General</formatCode>
                <ptCount val="17"/>
                <pt idx="0">
                  <v>-26.01</v>
                </pt>
                <pt idx="1">
                  <v>-26.001</v>
                </pt>
                <pt idx="2">
                  <v>-18.5</v>
                </pt>
                <pt idx="3">
                  <v>-18</v>
                </pt>
                <pt idx="4">
                  <v>-7</v>
                </pt>
                <pt idx="5">
                  <v>-9</v>
                </pt>
                <pt idx="6">
                  <v>0</v>
                </pt>
                <pt idx="7">
                  <v>3</v>
                </pt>
                <pt idx="8">
                  <v>7.7</v>
                </pt>
                <pt idx="9">
                  <v>-6.5</v>
                </pt>
                <pt idx="10">
                  <v>-32</v>
                </pt>
              </numCache>
            </numRef>
          </xVal>
          <yVal>
            <numRef>
              <f>'FlxTest20mm_42cm (3)'!$N$16:$AD$16</f>
              <numCache>
                <formatCode>General</formatCode>
                <ptCount val="17"/>
                <pt idx="0">
                  <v>-19.22745425433914</v>
                </pt>
                <pt idx="1">
                  <v>-22.87081032971263</v>
                </pt>
                <pt idx="2">
                  <v>-15.30375509740191</v>
                </pt>
                <pt idx="3">
                  <v>-23.61492877643002</v>
                </pt>
                <pt idx="4">
                  <v>-16.96433006281926</v>
                </pt>
                <pt idx="5">
                  <v>-20.51255634876991</v>
                </pt>
                <pt idx="6">
                  <v>-22.52466962158922</v>
                </pt>
                <pt idx="7">
                  <v>-22.44542224216484</v>
                </pt>
                <pt idx="8">
                  <v>-24.683174896032</v>
                </pt>
                <pt idx="9">
                  <v>-31.30576543368486</v>
                </pt>
                <pt idx="10">
                  <v>-24.07639197810197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yVal>
          <smooth val="0"/>
        </ser>
        <ser>
          <idx val="1"/>
          <order val="1"/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poly"/>
            <order val="2"/>
            <dispRSqr val="0"/>
            <dispEq val="0"/>
          </trendline>
          <xVal>
            <numRef>
              <f>'FlxTest20mm_42cm (3)'!$C$7:$M$7</f>
              <numCache>
                <formatCode>General</formatCode>
                <ptCount val="11"/>
                <pt idx="0">
                  <v>-125</v>
                </pt>
                <pt idx="1">
                  <v>-114</v>
                </pt>
                <pt idx="2">
                  <v>-98</v>
                </pt>
                <pt idx="3">
                  <v>-83</v>
                </pt>
                <pt idx="4">
                  <v>-75.5</v>
                </pt>
                <pt idx="5">
                  <v>-69</v>
                </pt>
                <pt idx="6">
                  <v>-55.5</v>
                </pt>
                <pt idx="7">
                  <v>-53.001</v>
                </pt>
                <pt idx="8">
                  <v>-53.01</v>
                </pt>
                <pt idx="9">
                  <v>-41</v>
                </pt>
                <pt idx="10">
                  <v>-30</v>
                </pt>
              </numCache>
            </numRef>
          </xVal>
          <yVal>
            <numRef>
              <f>'FlxTest20mm_42cm (3)'!$C$16:$M$16</f>
              <numCache>
                <formatCode>General</formatCode>
                <ptCount val="11"/>
                <pt idx="0">
                  <v>-5.626068039481632</v>
                </pt>
                <pt idx="1">
                  <v>-5.620399172616299</v>
                </pt>
                <pt idx="2">
                  <v>-10.13655849852618</v>
                </pt>
                <pt idx="3">
                  <v>-13.1828971632755</v>
                </pt>
                <pt idx="4">
                  <v>-14.44172670994678</v>
                </pt>
                <pt idx="5">
                  <v>-17.25259369975322</v>
                </pt>
                <pt idx="6">
                  <v>-20.8833781863412</v>
                </pt>
                <pt idx="7">
                  <v>-22.6507412457938</v>
                </pt>
                <pt idx="8">
                  <v>-23.16548730865841</v>
                </pt>
                <pt idx="9">
                  <v>-28.66833854611783</v>
                </pt>
                <pt idx="10">
                  <v>-31.99645592581052</v>
                </pt>
              </numCache>
            </numRef>
          </yVal>
          <smooth val="0"/>
        </ser>
        <ser>
          <idx val="2"/>
          <order val="2"/>
          <tx>
            <v>620 kPa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3"/>
                </a:solidFill>
                <a:prstDash val="sysDot"/>
              </a:ln>
            </spPr>
            <trendlineType val="poly"/>
            <order val="2"/>
            <dispRSqr val="0"/>
            <dispEq val="0"/>
          </trendline>
          <xVal>
            <numRef>
              <f>'FlxTest20mm_42cm (3)'!$R$7:$S$7</f>
              <numCache>
                <formatCode>General</formatCode>
                <ptCount val="2"/>
                <pt idx="0">
                  <v>-7</v>
                </pt>
                <pt idx="1">
                  <v>-9</v>
                </pt>
              </numCache>
            </numRef>
          </xVal>
          <yVal>
            <numRef>
              <f>'FlxTest20mm_42cm (3)'!$R$16:$S$16</f>
              <numCache>
                <formatCode>General</formatCode>
                <ptCount val="2"/>
                <pt idx="0">
                  <v>-16.96433006281926</v>
                </pt>
                <pt idx="1">
                  <v>-20.51255634876991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1401968"/>
        <axId val="1221403632"/>
      </scatterChart>
      <valAx>
        <axId val="12214019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1403632"/>
        <crosses val="autoZero"/>
        <crossBetween val="midCat"/>
      </valAx>
      <valAx>
        <axId val="12214036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140196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 mm Flexor Torque</a:t>
            </a:r>
          </a:p>
        </rich>
      </tx>
    </title>
    <plotArea>
      <scatterChart>
        <scatterStyle val="lineMarker"/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'FlxTest20mm_51cm'!$C$7:$X$7</f>
            </numRef>
          </xVal>
          <yVal>
            <numRef>
              <f>'FlxTest20mm_51cm'!$C$16:$X$16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ZCode</author>
  </authors>
  <commentList>
    <comment ref="B16" authorId="0" shapeId="0">
      <text>
        <t>Row 16 'Torque' = planar approximation -Load*cos(LC angle - 2.83 deg)*Tibia origin/1000 (extension (positive) sign convention; update the 2.83 deg offset per rig measurement).
Row 17 'Torque actual' = measured torque via the Adjoint transform, printed by Knee_Extensor_20mm.m (FlxTest20mm_51cm / ExtTest20mm_1 section) for paste here.</t>
      </text>
    </comment>
  </commentList>
</comments>
</file>

<file path=xl/comments/comment2.xml><?xml version="1.0" encoding="utf-8"?>
<comments xmlns="http://schemas.openxmlformats.org/spreadsheetml/2006/main">
  <authors>
    <author>ZCode</author>
  </authors>
  <commentList>
    <comment ref="B16" authorId="0" shapeId="0">
      <text>
        <t>Row 16 'Torque' = planar approximation -Load*cos(LC angle - 2.83 deg)*Tibia origin/1000 (flexion (negative) sign convention; update the 2.83 deg offset per rig measurement).
Row 17 'Torque actual' = measured torque via the Adjoint transform, printed by Knee_Flexor_Data_20mm.m (FlxTest20mm_51cm / ExtTest20mm_1 section) for paste here.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twoCellAnchor>
    <from>
      <col>4</col>
      <colOff>285750</colOff>
      <row>23</row>
      <rowOff>17145</rowOff>
    </from>
    <to>
      <col>9</col>
      <colOff>874395</colOff>
      <row>37</row>
      <rowOff>85725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twoCell">
    <from>
      <col>9</col>
      <colOff>0</colOff>
      <row>22</row>
      <rowOff>0</rowOff>
    </from>
    <to>
      <col>16</col>
      <colOff>0</colOff>
      <row>37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112395</colOff>
      <row>19</row>
      <rowOff>136207</rowOff>
    </from>
    <to>
      <col>10</col>
      <colOff>316230</colOff>
      <row>34</row>
      <rowOff>29527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5</col>
      <colOff>112395</colOff>
      <row>19</row>
      <rowOff>136207</rowOff>
    </from>
    <to>
      <col>10</col>
      <colOff>316230</colOff>
      <row>34</row>
      <rowOff>29527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5</col>
      <colOff>112395</colOff>
      <row>19</row>
      <rowOff>136207</rowOff>
    </from>
    <to>
      <col>10</col>
      <colOff>316230</colOff>
      <row>34</row>
      <rowOff>29527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5</col>
      <colOff>112395</colOff>
      <row>19</row>
      <rowOff>136207</rowOff>
    </from>
    <to>
      <col>10</col>
      <colOff>316230</colOff>
      <row>34</row>
      <rowOff>29527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9</col>
      <colOff>541020</colOff>
      <row>22</row>
      <rowOff>136207</rowOff>
    </from>
    <to>
      <col>16</col>
      <colOff>516255</colOff>
      <row>37</row>
      <rowOff>29527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 editAs="twoCell">
    <from>
      <col>9</col>
      <colOff>0</colOff>
      <row>22</row>
      <rowOff>0</rowOff>
    </from>
    <to>
      <col>16</col>
      <colOff>0</colOff>
      <row>37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opLeftCell="A13" workbookViewId="0">
      <selection activeCell="D16" sqref="D16"/>
    </sheetView>
  </sheetViews>
  <sheetFormatPr baseColWidth="8" defaultRowHeight="14.4"/>
  <cols>
    <col width="9.109375" customWidth="1" style="3" min="1" max="1"/>
    <col width="25.109375" customWidth="1" style="3" min="2" max="2"/>
    <col width="12.33203125" customWidth="1" min="3" max="3"/>
    <col width="8.6640625" customWidth="1" min="5" max="5"/>
    <col width="11.33203125" customWidth="1" min="6" max="6"/>
    <col width="13.33203125" customWidth="1" min="7" max="7"/>
    <col width="13.44140625" customWidth="1" min="8" max="9"/>
    <col width="14" customWidth="1" min="10" max="10"/>
  </cols>
  <sheetData>
    <row r="1">
      <c r="A1" s="3" t="inlineStr">
        <is>
          <t>Extensor Test 40mm</t>
        </is>
      </c>
    </row>
    <row r="2">
      <c r="A2" s="3" t="inlineStr">
        <is>
          <t>Resting muscle length</t>
        </is>
      </c>
      <c r="C2" t="n">
        <v>557</v>
      </c>
    </row>
    <row r="3">
      <c r="B3" s="3" t="inlineStr">
        <is>
          <t>expected max contract</t>
        </is>
      </c>
      <c r="C3">
        <f>C2-C2*0.17</f>
        <v/>
      </c>
      <c r="D3">
        <f>C2*0.75</f>
        <v/>
      </c>
      <c r="I3">
        <f>1-I10/C2</f>
        <v/>
      </c>
      <c r="N3">
        <f>1-N10/C2</f>
        <v/>
      </c>
    </row>
    <row r="4">
      <c r="B4" s="3" t="inlineStr">
        <is>
          <t>tendon</t>
        </is>
      </c>
      <c r="C4" t="n">
        <v>30</v>
      </c>
      <c r="J4" t="inlineStr">
        <is>
          <t>*</t>
        </is>
      </c>
      <c r="O4" t="inlineStr">
        <is>
          <t>**</t>
        </is>
      </c>
    </row>
    <row r="5" customFormat="1" s="10">
      <c r="B5" s="4" t="inlineStr">
        <is>
          <t>Test #</t>
        </is>
      </c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  <c r="M5" s="10" t="n">
        <v>11</v>
      </c>
      <c r="N5" s="10" t="n">
        <v>12</v>
      </c>
      <c r="O5" s="10" t="n">
        <v>13</v>
      </c>
      <c r="P5" s="10" t="n">
        <v>14</v>
      </c>
      <c r="Q5" s="10" t="n">
        <v>15</v>
      </c>
    </row>
    <row r="6">
      <c r="B6" s="5" t="inlineStr">
        <is>
          <t>Load (N)</t>
        </is>
      </c>
      <c r="C6" t="n">
        <v>21.395</v>
      </c>
      <c r="D6" t="n">
        <v>9.8043</v>
      </c>
      <c r="E6" t="n">
        <v>5.4329</v>
      </c>
      <c r="F6" t="n">
        <v>1.5627</v>
      </c>
      <c r="G6" t="n">
        <v>3.1173</v>
      </c>
      <c r="H6" t="n">
        <v>4.5189</v>
      </c>
      <c r="I6" t="n">
        <v>1.1431</v>
      </c>
      <c r="J6" t="n">
        <v>20.043</v>
      </c>
      <c r="K6" t="n">
        <v>3.3938</v>
      </c>
      <c r="L6" t="n">
        <v>4.079</v>
      </c>
      <c r="M6" t="n">
        <v>20.853</v>
      </c>
      <c r="N6" t="n">
        <v>10.809</v>
      </c>
      <c r="O6" t="n">
        <v>33.079</v>
      </c>
      <c r="P6" t="n">
        <v>19.314</v>
      </c>
    </row>
    <row r="7">
      <c r="B7" s="6" t="inlineStr">
        <is>
          <t>Knee angle</t>
        </is>
      </c>
      <c r="C7" t="n">
        <v>-117</v>
      </c>
      <c r="D7" t="n">
        <v>-106</v>
      </c>
      <c r="E7" t="n">
        <v>-96</v>
      </c>
      <c r="F7" t="n">
        <v>-66.5</v>
      </c>
      <c r="G7" t="n">
        <v>-74.5</v>
      </c>
      <c r="H7" t="n">
        <v>-85.5</v>
      </c>
      <c r="I7" t="n">
        <v>-53.5</v>
      </c>
      <c r="J7" t="n">
        <v>-53.5</v>
      </c>
      <c r="K7" t="n">
        <v>-17</v>
      </c>
      <c r="L7" t="n">
        <v>-17</v>
      </c>
      <c r="M7" t="n">
        <v>-42.5</v>
      </c>
      <c r="N7" t="n">
        <v>-30</v>
      </c>
      <c r="O7" t="n">
        <v>-6</v>
      </c>
      <c r="P7" t="n">
        <v>6.5</v>
      </c>
    </row>
    <row r="8" customFormat="1" s="1">
      <c r="A8" s="11" t="inlineStr">
        <is>
          <t>Hand</t>
        </is>
      </c>
      <c r="B8" s="7" t="inlineStr">
        <is>
          <t>Load cell angle (real ICR)</t>
        </is>
      </c>
      <c r="C8" s="1" t="n">
        <v>36.1</v>
      </c>
      <c r="D8" s="1" t="n">
        <v>29</v>
      </c>
      <c r="E8" s="1" t="n">
        <v>26.5</v>
      </c>
      <c r="F8" s="1" t="n">
        <v>32.3</v>
      </c>
      <c r="G8" s="1" t="n">
        <v>31.2</v>
      </c>
      <c r="H8" s="1" t="n">
        <v>27.6</v>
      </c>
      <c r="I8" s="1" t="n">
        <v>33.6</v>
      </c>
      <c r="J8" s="1" t="n">
        <v>36.5</v>
      </c>
      <c r="K8" s="1" t="n">
        <v>36</v>
      </c>
      <c r="L8" s="1" t="n">
        <v>35.2</v>
      </c>
      <c r="M8" s="1" t="n">
        <v>39.9</v>
      </c>
      <c r="N8" s="1" t="n">
        <v>39.7</v>
      </c>
      <c r="O8" s="1" t="n">
        <v>36.2</v>
      </c>
      <c r="P8" s="1" t="n">
        <v>32.5</v>
      </c>
    </row>
    <row r="9">
      <c r="A9" s="12" t="n"/>
      <c r="B9" s="8" t="inlineStr">
        <is>
          <t>Load cell angle (tibia)</t>
        </is>
      </c>
      <c r="C9" t="n">
        <v>32</v>
      </c>
      <c r="D9" t="n">
        <v>34.5</v>
      </c>
      <c r="E9" t="n">
        <v>31</v>
      </c>
      <c r="F9" t="n">
        <v>44.5</v>
      </c>
      <c r="G9" t="n">
        <v>35.5</v>
      </c>
      <c r="H9" t="n">
        <v>33</v>
      </c>
      <c r="I9" t="n">
        <v>35.5</v>
      </c>
      <c r="J9" t="n">
        <v>35</v>
      </c>
      <c r="K9" t="n">
        <v>35</v>
      </c>
      <c r="L9" t="n">
        <v>37</v>
      </c>
      <c r="M9" t="n">
        <v>40.5</v>
      </c>
      <c r="N9" t="n">
        <v>38</v>
      </c>
      <c r="O9" t="n">
        <v>34</v>
      </c>
      <c r="P9" t="n">
        <v>33.5</v>
      </c>
    </row>
    <row r="10">
      <c r="A10" s="12" t="n"/>
      <c r="B10" s="8" t="inlineStr">
        <is>
          <t>muscle length</t>
        </is>
      </c>
      <c r="C10" t="n">
        <v>533</v>
      </c>
      <c r="D10" t="n">
        <v>529.5</v>
      </c>
      <c r="E10" t="n">
        <v>520</v>
      </c>
      <c r="F10" t="n">
        <v>524</v>
      </c>
      <c r="G10" t="n">
        <v>522</v>
      </c>
      <c r="H10" t="n">
        <v>522</v>
      </c>
      <c r="I10" t="n">
        <v>526</v>
      </c>
      <c r="J10" t="n">
        <v>470</v>
      </c>
      <c r="K10" t="n">
        <v>461</v>
      </c>
      <c r="L10" t="n">
        <v>461</v>
      </c>
      <c r="M10" t="n">
        <v>462</v>
      </c>
      <c r="N10" t="n">
        <v>457</v>
      </c>
      <c r="O10" t="n">
        <v>440</v>
      </c>
      <c r="P10" t="n">
        <v>430</v>
      </c>
    </row>
    <row r="11">
      <c r="A11" s="12" t="n"/>
      <c r="B11" s="8" t="inlineStr">
        <is>
          <t>% contraction</t>
        </is>
      </c>
      <c r="C11">
        <f>($C$2-C10)/$C$2</f>
        <v/>
      </c>
      <c r="D11">
        <f>($C$2-D10)/$C$2</f>
        <v/>
      </c>
      <c r="E11">
        <f>($C$2-E10)/$C$2</f>
        <v/>
      </c>
      <c r="F11">
        <f>($C$2-F10)/$C$2</f>
        <v/>
      </c>
      <c r="G11">
        <f>($C$2-G10)/$C$2</f>
        <v/>
      </c>
      <c r="H11">
        <f>($C$2-H10)/$C$2</f>
        <v/>
      </c>
      <c r="I11">
        <f>($C$2-I10)/$C$2</f>
        <v/>
      </c>
      <c r="J11">
        <f>($C$2-J10)/$C$2</f>
        <v/>
      </c>
      <c r="K11">
        <f>($C$2-K10)/$C$2</f>
        <v/>
      </c>
      <c r="L11">
        <f>($C$2-L10)/$C$2</f>
        <v/>
      </c>
      <c r="M11">
        <f>($C$2-M10)/$C$2</f>
        <v/>
      </c>
      <c r="N11">
        <f>($C$2-N10)/$C$2</f>
        <v/>
      </c>
      <c r="O11">
        <f>($C$2-O10)/$C$2</f>
        <v/>
      </c>
      <c r="P11">
        <f>($C$2-P10)/$C$2</f>
        <v/>
      </c>
    </row>
    <row r="12" customFormat="1" s="1">
      <c r="A12" s="11" t="inlineStr">
        <is>
          <t>MA</t>
        </is>
      </c>
      <c r="B12" s="7" t="inlineStr">
        <is>
          <t>ICR (spline)</t>
        </is>
      </c>
    </row>
    <row r="13">
      <c r="A13" s="12" t="n"/>
      <c r="B13" s="8" t="inlineStr">
        <is>
          <t>Tibia origin (matlab)</t>
        </is>
      </c>
      <c r="C13" t="n">
        <v>366.05</v>
      </c>
      <c r="D13" t="n">
        <v>366.05</v>
      </c>
      <c r="E13" t="n">
        <v>366.05</v>
      </c>
      <c r="F13" t="n">
        <v>366.05</v>
      </c>
      <c r="G13" t="n">
        <v>366.05</v>
      </c>
      <c r="H13" t="n">
        <v>366.05</v>
      </c>
      <c r="I13" t="n">
        <v>366.05</v>
      </c>
      <c r="J13" t="n">
        <v>366.05</v>
      </c>
      <c r="K13" t="n">
        <v>366.05</v>
      </c>
      <c r="L13" t="n">
        <v>366.05</v>
      </c>
      <c r="M13" t="n">
        <v>366.05</v>
      </c>
      <c r="N13" t="n">
        <v>366.05</v>
      </c>
      <c r="O13" t="n">
        <v>366.05</v>
      </c>
      <c r="P13" t="n">
        <v>366.05</v>
      </c>
      <c r="Q13" t="n">
        <v>366.05</v>
      </c>
    </row>
    <row r="14">
      <c r="A14" s="12" t="n"/>
      <c r="B14" s="8" t="inlineStr">
        <is>
          <t>ICR to muscle</t>
        </is>
      </c>
      <c r="C14" t="n">
        <v>60</v>
      </c>
      <c r="D14" t="n">
        <v>65</v>
      </c>
      <c r="E14" t="n">
        <v>57</v>
      </c>
      <c r="F14" t="n">
        <v>73</v>
      </c>
      <c r="G14" t="n">
        <v>62</v>
      </c>
      <c r="H14" t="n">
        <v>67</v>
      </c>
      <c r="I14" t="n">
        <v>74</v>
      </c>
      <c r="J14" t="n">
        <v>65</v>
      </c>
      <c r="K14" t="n">
        <v>70</v>
      </c>
      <c r="L14" t="n">
        <v>75</v>
      </c>
      <c r="M14" t="n">
        <v>62.5</v>
      </c>
      <c r="N14" t="n">
        <v>69</v>
      </c>
      <c r="O14" t="n">
        <v>60</v>
      </c>
      <c r="P14" t="n">
        <v>64</v>
      </c>
    </row>
    <row r="15" customFormat="1" s="2">
      <c r="A15" s="13" t="n"/>
      <c r="B15" s="9" t="inlineStr">
        <is>
          <t>dl/dtheta</t>
        </is>
      </c>
    </row>
    <row r="16">
      <c r="B16" s="5" t="inlineStr">
        <is>
          <t>Torque</t>
        </is>
      </c>
      <c r="C16">
        <f>C6*COS(RADIANS(C9-3.05))*C13/1000</f>
        <v/>
      </c>
      <c r="D16">
        <f>D6*COS(RADIANS(D9-3.05))*D13/1000</f>
        <v/>
      </c>
      <c r="E16">
        <f>E6*COS(RADIANS(E9-3.05))*E13/1000</f>
        <v/>
      </c>
      <c r="F16">
        <f>F6*COS(RADIANS(F9-3.05))*F13/1000</f>
        <v/>
      </c>
      <c r="G16">
        <f>G6*COS(RADIANS(G9-3.05))*G13/1000</f>
        <v/>
      </c>
      <c r="H16">
        <f>H6*COS(RADIANS(H9-3.05))*H13/1000</f>
        <v/>
      </c>
      <c r="I16">
        <f>I6*COS(RADIANS(I9-3.05))*I13/1000</f>
        <v/>
      </c>
      <c r="J16">
        <f>J6*COS(RADIANS(J9-3.05))*J13/1000</f>
        <v/>
      </c>
      <c r="K16">
        <f>K6*COS(RADIANS(K9-3.05))*K13/1000</f>
        <v/>
      </c>
      <c r="L16">
        <f>L6*COS(RADIANS(L9-2.83))*L13/1000</f>
        <v/>
      </c>
      <c r="M16">
        <f>M6*COS(RADIANS(M9-2.83))*M13/1000</f>
        <v/>
      </c>
      <c r="N16">
        <f>N6*COS(RADIANS(N9-2.83))*N13/1000</f>
        <v/>
      </c>
      <c r="O16">
        <f>O6*COS(RADIANS(O9-2.83))*O13/1000</f>
        <v/>
      </c>
      <c r="P16">
        <f>P6*COS(RADIANS(P9-2.83))*P13/1000</f>
        <v/>
      </c>
      <c r="Q16">
        <f>Q6*COS(RADIANS(Q9-2.83))*Q13/1000</f>
        <v/>
      </c>
    </row>
    <row r="17">
      <c r="J17" t="inlineStr">
        <is>
          <t>*changed pressure from 100 kPa to 230 kPa</t>
        </is>
      </c>
    </row>
    <row r="18">
      <c r="O18" t="inlineStr">
        <is>
          <t>**Increased pressure to 380 kPa</t>
        </is>
      </c>
    </row>
    <row r="19">
      <c r="O19" t="inlineStr">
        <is>
          <t>Added pulley in system</t>
        </is>
      </c>
    </row>
    <row r="20">
      <c r="B20" s="3" t="inlineStr">
        <is>
          <t>Moment arm</t>
        </is>
      </c>
      <c r="C20" s="3" t="inlineStr">
        <is>
          <t>Torque actual</t>
        </is>
      </c>
    </row>
    <row r="21">
      <c r="C21" t="n">
        <v>6.12972152685193</v>
      </c>
      <c r="K21" t="inlineStr">
        <is>
          <t>Vas_Pam insertion wrt arbitrary knee loc</t>
        </is>
      </c>
    </row>
    <row r="22">
      <c r="C22" t="n">
        <v>2.74797250443463</v>
      </c>
      <c r="K22" t="inlineStr">
        <is>
          <t>x</t>
        </is>
      </c>
      <c r="L22" t="inlineStr">
        <is>
          <t>y</t>
        </is>
      </c>
      <c r="M22" t="inlineStr">
        <is>
          <t>z</t>
        </is>
      </c>
    </row>
    <row r="23">
      <c r="C23" t="n">
        <v>1.58770915277594</v>
      </c>
      <c r="K23" t="n">
        <v>0.02163</v>
      </c>
      <c r="L23" t="n">
        <v>-0.07164</v>
      </c>
      <c r="M23" t="n">
        <v>0</v>
      </c>
    </row>
    <row r="24">
      <c r="C24" t="n">
        <v>0.393968300538092</v>
      </c>
    </row>
    <row r="25">
      <c r="C25" t="n">
        <v>0.879975239713352</v>
      </c>
      <c r="K25" t="inlineStr">
        <is>
          <t>Vas_Pam insertion wrt arbitrary knee loc</t>
        </is>
      </c>
    </row>
    <row r="26">
      <c r="C26" t="n">
        <v>1.30176056989806</v>
      </c>
      <c r="K26" t="inlineStr">
        <is>
          <t>x</t>
        </is>
      </c>
      <c r="L26" t="inlineStr">
        <is>
          <t>y</t>
        </is>
      </c>
      <c r="M26" t="inlineStr">
        <is>
          <t>z</t>
        </is>
      </c>
    </row>
    <row r="27">
      <c r="C27" t="n">
        <v>0.327108261221737</v>
      </c>
      <c r="K27" t="n">
        <v>0.03776</v>
      </c>
      <c r="L27" t="n">
        <v>-0.02481</v>
      </c>
      <c r="M27" t="n">
        <v>0</v>
      </c>
    </row>
    <row r="28">
      <c r="C28" t="n">
        <v>5.76631757047453</v>
      </c>
    </row>
    <row r="29">
      <c r="C29" t="n">
        <v>0.997931957717987</v>
      </c>
    </row>
    <row r="30">
      <c r="C30" t="n">
        <v>1.17473937755851</v>
      </c>
    </row>
    <row r="31">
      <c r="C31" t="n">
        <v>5.66699725609134</v>
      </c>
    </row>
    <row r="32">
      <c r="C32" t="n">
        <v>3.05323233713781</v>
      </c>
    </row>
    <row r="33">
      <c r="C33" t="n">
        <v>9.8822570388584</v>
      </c>
    </row>
    <row r="34">
      <c r="C34" t="n">
        <v>5.83398113159853</v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topLeftCell="A4" workbookViewId="0">
      <selection activeCell="N23" sqref="N23"/>
    </sheetView>
  </sheetViews>
  <sheetFormatPr baseColWidth="8" defaultRowHeight="14.4"/>
  <cols>
    <col width="9.109375" customWidth="1" style="3" min="1" max="1"/>
    <col width="25.109375" customWidth="1" style="3" min="2" max="2"/>
    <col width="12.33203125" customWidth="1" min="3" max="3"/>
    <col width="8.6640625" customWidth="1" min="5" max="5"/>
    <col width="11.33203125" customWidth="1" min="6" max="6"/>
    <col width="13.33203125" customWidth="1" min="7" max="7"/>
    <col width="13.44140625" customWidth="1" min="8" max="9"/>
    <col width="14" customWidth="1" min="10" max="10"/>
  </cols>
  <sheetData>
    <row r="1">
      <c r="A1" s="3" t="inlineStr">
        <is>
          <t>Extensor Test 40mm</t>
        </is>
      </c>
    </row>
    <row r="2">
      <c r="A2" s="3" t="inlineStr">
        <is>
          <t>Resting muscle length</t>
        </is>
      </c>
      <c r="C2" t="n">
        <v>557</v>
      </c>
    </row>
    <row r="3">
      <c r="B3" s="3" t="inlineStr">
        <is>
          <t>expected max contract</t>
        </is>
      </c>
      <c r="C3">
        <f>C2-C2*0.17</f>
        <v/>
      </c>
    </row>
    <row r="4">
      <c r="B4" s="3" t="inlineStr">
        <is>
          <t>tendon</t>
        </is>
      </c>
      <c r="C4" t="n">
        <v>90</v>
      </c>
    </row>
    <row r="5" customFormat="1" s="10">
      <c r="B5" s="4" t="inlineStr">
        <is>
          <t>Test #</t>
        </is>
      </c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  <c r="M5" s="10" t="n">
        <v>11</v>
      </c>
      <c r="N5" s="10" t="n">
        <v>12</v>
      </c>
      <c r="O5" s="10" t="n">
        <v>13</v>
      </c>
      <c r="P5" s="10" t="n">
        <v>14</v>
      </c>
      <c r="Q5" s="10" t="n">
        <v>15</v>
      </c>
    </row>
    <row r="6">
      <c r="B6" s="5" t="inlineStr">
        <is>
          <t>Load (N)</t>
        </is>
      </c>
      <c r="C6" t="n">
        <v>84.11799999999999</v>
      </c>
      <c r="D6" t="n">
        <v>124</v>
      </c>
    </row>
    <row r="7">
      <c r="B7" s="6" t="inlineStr">
        <is>
          <t>Knee angle</t>
        </is>
      </c>
      <c r="C7" t="n">
        <v>6</v>
      </c>
      <c r="D7" t="n">
        <v>-16</v>
      </c>
    </row>
    <row r="8">
      <c r="B8" s="4" t="inlineStr">
        <is>
          <t>Pressure (gauge)</t>
        </is>
      </c>
      <c r="C8" t="n">
        <v>604</v>
      </c>
      <c r="D8" t="n">
        <v>530</v>
      </c>
    </row>
    <row r="9" customFormat="1" s="1">
      <c r="A9" s="11" t="inlineStr">
        <is>
          <t>Hand</t>
        </is>
      </c>
      <c r="B9" s="7" t="inlineStr">
        <is>
          <t>Load cell angle (real ICR)</t>
        </is>
      </c>
      <c r="C9" s="1" t="n">
        <v>16.5</v>
      </c>
    </row>
    <row r="10">
      <c r="A10" s="12" t="n"/>
      <c r="B10" s="8" t="inlineStr">
        <is>
          <t>Load cell angle (tibia)</t>
        </is>
      </c>
      <c r="C10" t="n">
        <v>14.6</v>
      </c>
      <c r="D10" t="n">
        <v>14.6</v>
      </c>
      <c r="E10" t="n">
        <v>14.6</v>
      </c>
      <c r="F10" t="n">
        <v>14.6</v>
      </c>
      <c r="G10" t="n">
        <v>14.6</v>
      </c>
      <c r="H10" t="n">
        <v>14.6</v>
      </c>
      <c r="I10" t="n">
        <v>14.6</v>
      </c>
      <c r="J10" t="n">
        <v>14.6</v>
      </c>
      <c r="K10" t="n">
        <v>14.6</v>
      </c>
      <c r="L10" t="n">
        <v>14.6</v>
      </c>
      <c r="M10" t="n">
        <v>14.6</v>
      </c>
      <c r="N10" t="n">
        <v>14.6</v>
      </c>
      <c r="O10" t="n">
        <v>14.6</v>
      </c>
      <c r="P10" t="n">
        <v>14.6</v>
      </c>
      <c r="Q10" t="n">
        <v>14.6</v>
      </c>
    </row>
    <row r="11">
      <c r="A11" s="12" t="n"/>
      <c r="B11" s="8" t="inlineStr">
        <is>
          <t>muscle length</t>
        </is>
      </c>
      <c r="C11" t="n">
        <v>399</v>
      </c>
    </row>
    <row r="12">
      <c r="A12" s="12" t="n"/>
      <c r="B12" s="8" t="inlineStr">
        <is>
          <t>contraction</t>
        </is>
      </c>
      <c r="C12">
        <f>($C$2-C11)/$C$2</f>
        <v/>
      </c>
    </row>
    <row r="13" customFormat="1" s="1">
      <c r="A13" s="11" t="inlineStr">
        <is>
          <t>MA</t>
        </is>
      </c>
      <c r="B13" s="7" t="inlineStr">
        <is>
          <t>ICR (spline)</t>
        </is>
      </c>
    </row>
    <row r="14">
      <c r="A14" s="12" t="n"/>
      <c r="B14" s="8" t="inlineStr">
        <is>
          <t>Tibia origin (matlab)</t>
        </is>
      </c>
      <c r="C14" t="n">
        <v>240.61</v>
      </c>
      <c r="D14" t="n">
        <v>240.61</v>
      </c>
      <c r="E14" t="n">
        <v>240.61</v>
      </c>
      <c r="F14" t="n">
        <v>240.61</v>
      </c>
      <c r="G14" t="n">
        <v>240.61</v>
      </c>
      <c r="H14" t="n">
        <v>240.61</v>
      </c>
      <c r="I14" t="n">
        <v>240.61</v>
      </c>
      <c r="J14" t="n">
        <v>240.61</v>
      </c>
      <c r="K14" t="n">
        <v>240.61</v>
      </c>
      <c r="L14" t="n">
        <v>240.61</v>
      </c>
      <c r="M14" t="n">
        <v>240.61</v>
      </c>
      <c r="N14" t="n">
        <v>240.61</v>
      </c>
      <c r="O14" t="n">
        <v>240.61</v>
      </c>
      <c r="P14" t="n">
        <v>240.61</v>
      </c>
      <c r="Q14" t="n">
        <v>240.61</v>
      </c>
    </row>
    <row r="15">
      <c r="A15" s="12" t="n"/>
      <c r="B15" s="8" t="inlineStr">
        <is>
          <t>ICR to muscle</t>
        </is>
      </c>
      <c r="C15" t="n">
        <v>65</v>
      </c>
    </row>
    <row r="16" customFormat="1" s="2">
      <c r="A16" s="13" t="n"/>
      <c r="B16" s="9" t="inlineStr">
        <is>
          <t>dl/dtheta</t>
        </is>
      </c>
    </row>
    <row r="17">
      <c r="B17" s="5" t="inlineStr">
        <is>
          <t>Torque</t>
        </is>
      </c>
      <c r="C17">
        <f>C6*COS(RADIANS(C10-4.2))*C14/1000</f>
        <v/>
      </c>
      <c r="D17">
        <f>D6*COS(RADIANS(D10-5))*D14/1000</f>
        <v/>
      </c>
      <c r="E17">
        <f>E6*COS(RADIANS(E10))*E14/1000</f>
        <v/>
      </c>
      <c r="F17">
        <f>F6*COS(RADIANS(F10))*F14/1000</f>
        <v/>
      </c>
      <c r="G17">
        <f>G6*COS(RADIANS(G10))*G14/1000</f>
        <v/>
      </c>
      <c r="H17">
        <f>H6*COS(RADIANS(H10))*H14/1000</f>
        <v/>
      </c>
      <c r="I17">
        <f>I6*COS(RADIANS(I10))*I14/1000</f>
        <v/>
      </c>
      <c r="J17">
        <f>J6*COS(RADIANS(J10))*J14/1000</f>
        <v/>
      </c>
      <c r="K17">
        <f>K6*COS(RADIANS(K10))*K14/1000</f>
        <v/>
      </c>
      <c r="L17">
        <f>L6*COS(RADIANS(L10))*L14/1000</f>
        <v/>
      </c>
      <c r="M17">
        <f>M6*COS(RADIANS(M10))*M14/1000</f>
        <v/>
      </c>
      <c r="N17">
        <f>N6*COS(RADIANS(N10))*N14/1000</f>
        <v/>
      </c>
      <c r="O17">
        <f>O6*COS(RADIANS(O10))*O14/1000</f>
        <v/>
      </c>
      <c r="P17">
        <f>P6*COS(RADIANS(P10))*P14/1000</f>
        <v/>
      </c>
      <c r="Q17">
        <f>Q6*COS(RADIANS(Q10))*Q14/1000</f>
        <v/>
      </c>
    </row>
    <row r="18">
      <c r="B18" s="4" t="inlineStr">
        <is>
          <t>Human Vas_int Torque</t>
        </is>
      </c>
      <c r="C18" t="n">
        <v>30.557</v>
      </c>
      <c r="D18" t="n">
        <v>48</v>
      </c>
    </row>
    <row r="19">
      <c r="D19" t="inlineStr">
        <is>
          <t>*Leg assembly started breaking when load cell was reading 124 N of force</t>
        </is>
      </c>
    </row>
    <row r="21">
      <c r="C21" t="inlineStr">
        <is>
          <t>Vas_Pam insertion wrt arbitrary knee loc</t>
        </is>
      </c>
      <c r="I21" s="3" t="inlineStr">
        <is>
          <t>Moment arm</t>
        </is>
      </c>
      <c r="J21" s="3" t="inlineStr">
        <is>
          <t>Torque actual</t>
        </is>
      </c>
    </row>
    <row r="22">
      <c r="C22" t="inlineStr">
        <is>
          <t>x</t>
        </is>
      </c>
      <c r="D22" t="inlineStr">
        <is>
          <t>y</t>
        </is>
      </c>
      <c r="E22" t="inlineStr">
        <is>
          <t>z</t>
        </is>
      </c>
      <c r="G22" t="inlineStr">
        <is>
          <t>distal</t>
        </is>
      </c>
      <c r="I22" s="3" t="n"/>
      <c r="J22" t="n">
        <v>18.2609</v>
      </c>
    </row>
    <row r="23">
      <c r="C23" t="n">
        <v>0.02018</v>
      </c>
      <c r="D23" t="n">
        <v>-0.11127</v>
      </c>
      <c r="E23" t="n">
        <v>0</v>
      </c>
    </row>
    <row r="25">
      <c r="C25" t="inlineStr">
        <is>
          <t>Vas_Pam insertion wrt arbitrary knee loc</t>
        </is>
      </c>
    </row>
    <row r="26">
      <c r="C26" t="inlineStr">
        <is>
          <t>x</t>
        </is>
      </c>
      <c r="D26" t="inlineStr">
        <is>
          <t>y</t>
        </is>
      </c>
      <c r="E26" t="inlineStr">
        <is>
          <t>z</t>
        </is>
      </c>
      <c r="G26" t="inlineStr">
        <is>
          <t>proximal</t>
        </is>
      </c>
    </row>
    <row r="27">
      <c r="C27" t="n">
        <v>0.03619</v>
      </c>
      <c r="D27" t="n">
        <v>-0.06395000000000001</v>
      </c>
      <c r="E27" t="n">
        <v>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cols>
    <col width="9.109375" customWidth="1" min="1" max="1"/>
    <col width="25.109375" customWidth="1" min="2" max="2"/>
    <col width="12.33203125" customWidth="1" min="3" max="3"/>
    <col width="8.6640625" customWidth="1" min="5" max="5"/>
    <col width="11.33203125" customWidth="1" min="6" max="6"/>
    <col width="13.33203125" customWidth="1" min="7" max="7"/>
    <col width="13.44140625" customWidth="1" min="8" max="8"/>
    <col width="14" customWidth="1" min="10" max="10"/>
  </cols>
  <sheetData>
    <row r="1">
      <c r="A1" s="3" t="inlineStr">
        <is>
          <t>Extensor Test 20mm</t>
        </is>
      </c>
    </row>
    <row r="2">
      <c r="A2" s="3" t="inlineStr">
        <is>
          <t>Resting muscle length</t>
        </is>
      </c>
    </row>
    <row r="3">
      <c r="B3" s="3" t="inlineStr">
        <is>
          <t>expected max contract</t>
        </is>
      </c>
      <c r="D3" s="14" t="inlineStr">
        <is>
          <t>actual</t>
        </is>
      </c>
    </row>
    <row r="4">
      <c r="B4" s="3" t="inlineStr">
        <is>
          <t>tendon length</t>
        </is>
      </c>
      <c r="D4" t="inlineStr">
        <is>
          <t>actual</t>
        </is>
      </c>
    </row>
    <row r="5">
      <c r="B5" s="24" t="inlineStr">
        <is>
          <t>Test #</t>
        </is>
      </c>
      <c r="C5" s="25" t="n">
        <v>1</v>
      </c>
      <c r="D5" s="25" t="n">
        <v>2</v>
      </c>
      <c r="E5" s="25" t="n">
        <v>3</v>
      </c>
      <c r="F5" s="25" t="n">
        <v>4</v>
      </c>
      <c r="G5" s="25" t="n">
        <v>5</v>
      </c>
      <c r="H5" s="25" t="n">
        <v>6</v>
      </c>
      <c r="I5" s="25" t="n">
        <v>7</v>
      </c>
      <c r="J5" s="25" t="n">
        <v>8</v>
      </c>
      <c r="K5" s="25" t="n">
        <v>9</v>
      </c>
      <c r="L5" s="25" t="n">
        <v>10</v>
      </c>
      <c r="M5" s="25" t="n">
        <v>11</v>
      </c>
      <c r="N5" s="25" t="n">
        <v>12</v>
      </c>
      <c r="O5" s="25" t="n">
        <v>13</v>
      </c>
      <c r="P5" s="25" t="n">
        <v>14</v>
      </c>
      <c r="Q5" s="25" t="n">
        <v>15</v>
      </c>
      <c r="R5" s="25" t="n">
        <v>16</v>
      </c>
      <c r="S5" s="25" t="n">
        <v>17</v>
      </c>
      <c r="T5" s="25" t="n">
        <v>18</v>
      </c>
      <c r="U5" s="25" t="n">
        <v>19</v>
      </c>
      <c r="V5" s="25" t="n">
        <v>20</v>
      </c>
      <c r="W5" s="25" t="n">
        <v>21</v>
      </c>
      <c r="X5" s="25" t="n">
        <v>22</v>
      </c>
    </row>
    <row r="6">
      <c r="B6" s="13" t="inlineStr">
        <is>
          <t>Load (N)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</row>
    <row r="7">
      <c r="B7" s="11" t="inlineStr">
        <is>
          <t>Knee angle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</row>
    <row r="8">
      <c r="B8" s="29" t="inlineStr">
        <is>
          <t>Pressure (kPa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</row>
    <row r="9">
      <c r="A9" s="12" t="inlineStr">
        <is>
          <t>Hand</t>
        </is>
      </c>
      <c r="B9" s="3" t="inlineStr">
        <is>
          <t>Load cell angle (real ICR)</t>
        </is>
      </c>
    </row>
    <row r="10">
      <c r="B10" s="3" t="inlineStr">
        <is>
          <t>Load cell angle (tibia)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</row>
    <row r="11">
      <c r="B11" s="28" t="inlineStr">
        <is>
          <t>muscle length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</row>
    <row r="12">
      <c r="A12" s="12" t="inlineStr">
        <is>
          <t>MA</t>
        </is>
      </c>
      <c r="B12" s="3" t="inlineStr">
        <is>
          <t>ICR (spline)</t>
        </is>
      </c>
    </row>
    <row r="13">
      <c r="B13" s="3" t="inlineStr">
        <is>
          <t>Tibia origin (matlab)</t>
        </is>
      </c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</row>
    <row r="14">
      <c r="B14" s="3" t="inlineStr">
        <is>
          <t>ICR to muscle</t>
        </is>
      </c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</row>
    <row r="15">
      <c r="B15" s="28" t="inlineStr">
        <is>
          <t>dl/dtheta</t>
        </is>
      </c>
    </row>
    <row r="16">
      <c r="B16" s="13" t="inlineStr">
        <is>
          <t>Torque</t>
        </is>
      </c>
      <c r="C16" s="21">
        <f>C6*COS(RADIANS(C10-2.83))*C13/1000</f>
        <v/>
      </c>
      <c r="D16" s="21">
        <f>D6*COS(RADIANS(D10-2.83))*D13/1000</f>
        <v/>
      </c>
      <c r="E16" s="21">
        <f>E6*COS(RADIANS(E10-2.83))*E13/1000</f>
        <v/>
      </c>
      <c r="F16" s="21">
        <f>F6*COS(RADIANS(F10-2.83))*F13/1000</f>
        <v/>
      </c>
      <c r="G16" s="21">
        <f>G6*COS(RADIANS(G10-2.83))*G13/1000</f>
        <v/>
      </c>
      <c r="H16" s="21">
        <f>H6*COS(RADIANS(H10-2.83))*H13/1000</f>
        <v/>
      </c>
      <c r="I16" s="21">
        <f>I6*COS(RADIANS(I10-2.83))*I13/1000</f>
        <v/>
      </c>
      <c r="J16" s="21">
        <f>J6*COS(RADIANS(J10-2.83))*J13/1000</f>
        <v/>
      </c>
      <c r="K16" s="21">
        <f>K6*COS(RADIANS(K10-2.83))*K13/1000</f>
        <v/>
      </c>
      <c r="L16" s="21">
        <f>L6*COS(RADIANS(L10-2.83))*L13/1000</f>
        <v/>
      </c>
      <c r="M16" s="21">
        <f>M6*COS(RADIANS(M10-2.83))*M13/1000</f>
        <v/>
      </c>
      <c r="N16" s="21">
        <f>N6*COS(RADIANS(N10-2.83))*N13/1000</f>
        <v/>
      </c>
      <c r="O16" s="21">
        <f>O6*COS(RADIANS(O10-2.83))*O13/1000</f>
        <v/>
      </c>
      <c r="P16" s="21">
        <f>P6*COS(RADIANS(P10-2.83))*P13/1000</f>
        <v/>
      </c>
      <c r="Q16" s="21">
        <f>Q6*COS(RADIANS(Q10-2.83))*Q13/1000</f>
        <v/>
      </c>
      <c r="R16" s="21">
        <f>R6*COS(RADIANS(R10-2.83))*R13/1000</f>
        <v/>
      </c>
      <c r="S16" s="21">
        <f>S6*COS(RADIANS(S10-2.83))*S13/1000</f>
        <v/>
      </c>
      <c r="T16" s="21">
        <f>T6*COS(RADIANS(T10-2.83))*T13/1000</f>
        <v/>
      </c>
      <c r="U16" s="21">
        <f>U6*COS(RADIANS(U10-2.83))*U13/1000</f>
        <v/>
      </c>
      <c r="V16" s="21">
        <f>V6*COS(RADIANS(V10-2.83))*V13/1000</f>
        <v/>
      </c>
      <c r="W16" s="21">
        <f>W6*COS(RADIANS(W10-2.83))*W13/1000</f>
        <v/>
      </c>
      <c r="X16" s="21">
        <f>X6*COS(RADIANS(X10-2.83))*X13/1000</f>
        <v/>
      </c>
    </row>
    <row r="17">
      <c r="B17" s="3" t="inlineStr">
        <is>
          <t>Torque actual</t>
        </is>
      </c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</row>
    <row r="21">
      <c r="B21" s="3" t="inlineStr">
        <is>
          <t>Moment arm</t>
        </is>
      </c>
      <c r="C21" s="3" t="inlineStr">
        <is>
          <t>Torque actual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E3" sqref="E3"/>
    </sheetView>
  </sheetViews>
  <sheetFormatPr baseColWidth="8" defaultRowHeight="14.4"/>
  <cols>
    <col width="9.109375" customWidth="1" style="3" min="1" max="1"/>
    <col width="25.109375" customWidth="1" style="3" min="2" max="2"/>
    <col width="12.33203125" customWidth="1" min="3" max="3"/>
    <col width="8.6640625" customWidth="1" min="5" max="5"/>
    <col width="11.33203125" customWidth="1" min="6" max="6"/>
    <col width="13.33203125" customWidth="1" min="7" max="7"/>
    <col width="13.44140625" customWidth="1" min="8" max="9"/>
    <col width="14" customWidth="1" min="10" max="10"/>
  </cols>
  <sheetData>
    <row r="1">
      <c r="A1" s="3" t="inlineStr">
        <is>
          <t>Flexor Test 20mm</t>
        </is>
      </c>
    </row>
    <row r="2">
      <c r="A2" s="3" t="inlineStr">
        <is>
          <t>Resting muscle length</t>
        </is>
      </c>
      <c r="C2" t="n">
        <v>423</v>
      </c>
    </row>
    <row r="3">
      <c r="B3" s="3" t="inlineStr">
        <is>
          <t>expected max contract</t>
        </is>
      </c>
      <c r="C3">
        <f>C2-C2*0.17</f>
        <v/>
      </c>
      <c r="D3" s="14" t="inlineStr">
        <is>
          <t>actual</t>
        </is>
      </c>
      <c r="E3" t="n">
        <v>322</v>
      </c>
      <c r="F3">
        <f>(C2-E3)/C2</f>
        <v/>
      </c>
      <c r="M3">
        <f>1-369.5/423</f>
        <v/>
      </c>
    </row>
    <row r="4">
      <c r="B4" s="3" t="inlineStr">
        <is>
          <t>tendon length</t>
        </is>
      </c>
      <c r="C4" t="n">
        <v>17</v>
      </c>
      <c r="I4" t="inlineStr">
        <is>
          <t>*</t>
        </is>
      </c>
      <c r="M4" t="inlineStr">
        <is>
          <t>**</t>
        </is>
      </c>
      <c r="R4" t="inlineStr">
        <is>
          <t>***</t>
        </is>
      </c>
    </row>
    <row r="5" customFormat="1" s="10">
      <c r="B5" s="4" t="inlineStr">
        <is>
          <t>Test #</t>
        </is>
      </c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  <c r="M5" s="10" t="n">
        <v>11</v>
      </c>
      <c r="N5" s="10" t="n">
        <v>12</v>
      </c>
      <c r="O5" s="10" t="n">
        <v>13</v>
      </c>
      <c r="P5" s="10" t="n">
        <v>14</v>
      </c>
      <c r="Q5" s="10" t="n">
        <v>15</v>
      </c>
      <c r="R5" s="10" t="n">
        <v>16</v>
      </c>
      <c r="S5" s="10" t="n">
        <v>17</v>
      </c>
    </row>
    <row r="6">
      <c r="B6" s="5" t="inlineStr">
        <is>
          <t>Load (N)</t>
        </is>
      </c>
      <c r="C6" t="n">
        <v>29.225</v>
      </c>
      <c r="D6" t="n">
        <v>24.009</v>
      </c>
      <c r="E6" t="n">
        <v>20.302</v>
      </c>
      <c r="F6" t="n">
        <v>17.246</v>
      </c>
      <c r="G6" t="n">
        <v>14.472</v>
      </c>
      <c r="H6" t="n">
        <v>11.127</v>
      </c>
      <c r="I6" t="n">
        <v>11.121</v>
      </c>
      <c r="J6" t="n">
        <v>9.284000000000001</v>
      </c>
      <c r="K6" t="n">
        <v>6.8421</v>
      </c>
      <c r="L6" t="n">
        <v>2.9257</v>
      </c>
      <c r="M6" t="n">
        <v>19.083</v>
      </c>
      <c r="N6" t="n">
        <v>14.757</v>
      </c>
      <c r="O6" t="n">
        <v>11.612</v>
      </c>
      <c r="P6" t="n">
        <v>5.8364</v>
      </c>
      <c r="Q6" t="n">
        <v>3.1772</v>
      </c>
      <c r="R6" t="n">
        <v>7.6226</v>
      </c>
      <c r="S6" t="n">
        <v>4.8666</v>
      </c>
    </row>
    <row r="7">
      <c r="B7" s="6" t="inlineStr">
        <is>
          <t>Knee angle</t>
        </is>
      </c>
      <c r="C7" t="n">
        <v>-2</v>
      </c>
      <c r="D7" t="n">
        <v>-11.5</v>
      </c>
      <c r="E7" t="n">
        <v>-20</v>
      </c>
      <c r="F7" t="n">
        <v>-27</v>
      </c>
      <c r="G7" t="n">
        <v>-35</v>
      </c>
      <c r="H7" t="n">
        <v>-44</v>
      </c>
      <c r="I7" t="n">
        <v>-54.5</v>
      </c>
      <c r="J7" t="n">
        <v>-50</v>
      </c>
      <c r="K7" t="n">
        <v>-63</v>
      </c>
      <c r="L7" t="n">
        <v>-64</v>
      </c>
      <c r="M7" t="n">
        <v>-73.5</v>
      </c>
      <c r="N7" t="n">
        <v>-82</v>
      </c>
      <c r="O7" t="n">
        <v>-88</v>
      </c>
      <c r="P7" t="n">
        <v>-103.5</v>
      </c>
      <c r="Q7" t="n">
        <v>-114</v>
      </c>
      <c r="R7" t="n">
        <v>-115</v>
      </c>
      <c r="S7" t="n">
        <v>-120</v>
      </c>
    </row>
    <row r="8">
      <c r="B8" s="7" t="inlineStr">
        <is>
          <t>Pressure (kPa</t>
        </is>
      </c>
      <c r="C8" t="n">
        <v>300</v>
      </c>
      <c r="D8" t="n">
        <v>300</v>
      </c>
      <c r="E8" t="n">
        <v>300</v>
      </c>
      <c r="F8" t="n">
        <v>300</v>
      </c>
      <c r="G8" t="n">
        <v>300</v>
      </c>
      <c r="H8" t="n">
        <v>300</v>
      </c>
      <c r="I8" t="n">
        <v>300</v>
      </c>
      <c r="J8" t="n">
        <v>300</v>
      </c>
      <c r="K8" t="n">
        <v>300</v>
      </c>
      <c r="L8" t="n">
        <v>300</v>
      </c>
      <c r="M8" t="n">
        <v>500</v>
      </c>
      <c r="N8" t="n">
        <v>500</v>
      </c>
      <c r="O8" t="n">
        <v>500</v>
      </c>
      <c r="P8" t="n">
        <v>500</v>
      </c>
      <c r="Q8" t="n">
        <v>500</v>
      </c>
      <c r="R8" t="n">
        <v>620</v>
      </c>
      <c r="S8" t="n">
        <v>620</v>
      </c>
    </row>
    <row r="9" customFormat="1" s="1">
      <c r="A9" s="11" t="inlineStr">
        <is>
          <t>Hand</t>
        </is>
      </c>
      <c r="B9" s="7" t="inlineStr">
        <is>
          <t>Load cell angle (real ICR)</t>
        </is>
      </c>
      <c r="C9" s="1" t="n">
        <v>17.4</v>
      </c>
      <c r="D9" s="1" t="n">
        <v>21.4</v>
      </c>
      <c r="E9" s="1" t="n">
        <v>22.3</v>
      </c>
      <c r="F9" s="1" t="n">
        <v>23.1</v>
      </c>
      <c r="G9" s="1" t="n">
        <v>24.9</v>
      </c>
      <c r="H9" s="1" t="n">
        <v>28.4</v>
      </c>
      <c r="I9" s="1" t="n">
        <v>29.3</v>
      </c>
      <c r="J9" s="1" t="n">
        <v>29.4</v>
      </c>
      <c r="K9" s="1" t="n">
        <v>35.1</v>
      </c>
      <c r="L9" s="1" t="n">
        <v>35.7</v>
      </c>
      <c r="M9" s="1" t="n">
        <v>34.7</v>
      </c>
      <c r="N9" s="1" t="n">
        <v>38.3</v>
      </c>
      <c r="O9" s="1" t="n">
        <v>34.9</v>
      </c>
      <c r="P9" s="1" t="n">
        <v>35.3</v>
      </c>
      <c r="Q9" s="1" t="n">
        <v>42.7</v>
      </c>
      <c r="R9" s="1" t="n">
        <v>46.4</v>
      </c>
      <c r="S9" s="1" t="n">
        <v>48.1</v>
      </c>
    </row>
    <row r="10">
      <c r="A10" s="12" t="n"/>
      <c r="B10" s="8" t="inlineStr">
        <is>
          <t>Load cell angle (tibia)</t>
        </is>
      </c>
      <c r="C10" t="n">
        <v>24.5</v>
      </c>
      <c r="D10" t="n">
        <v>22</v>
      </c>
      <c r="E10" t="n">
        <v>24</v>
      </c>
      <c r="F10" t="n">
        <v>25.5</v>
      </c>
      <c r="G10" t="n">
        <v>31.5</v>
      </c>
      <c r="H10" t="n">
        <v>31</v>
      </c>
      <c r="I10" t="n">
        <v>31.5</v>
      </c>
      <c r="J10" t="n">
        <v>30</v>
      </c>
      <c r="K10" t="n">
        <v>31.5</v>
      </c>
      <c r="L10" t="n">
        <v>33.5</v>
      </c>
      <c r="M10" t="n">
        <v>38.5</v>
      </c>
      <c r="N10" t="n">
        <v>44.5</v>
      </c>
      <c r="O10" t="n">
        <v>43</v>
      </c>
      <c r="P10" t="n">
        <v>54.5</v>
      </c>
      <c r="Q10" t="n">
        <v>55.5</v>
      </c>
      <c r="R10" t="n">
        <v>52</v>
      </c>
      <c r="S10" t="n">
        <v>55</v>
      </c>
    </row>
    <row r="11" customFormat="1" s="1">
      <c r="A11" s="12" t="n"/>
      <c r="B11" s="8" t="inlineStr">
        <is>
          <t>muscle length</t>
        </is>
      </c>
      <c r="C11" t="n">
        <v>401</v>
      </c>
      <c r="D11" t="n">
        <v>395</v>
      </c>
      <c r="E11" t="n">
        <v>389</v>
      </c>
      <c r="F11" t="n">
        <v>387</v>
      </c>
      <c r="G11" t="n">
        <v>382</v>
      </c>
      <c r="H11" t="n">
        <v>380</v>
      </c>
      <c r="I11" t="n">
        <v>378</v>
      </c>
      <c r="J11" t="n">
        <v>374.5</v>
      </c>
      <c r="K11" t="n">
        <v>371.5</v>
      </c>
      <c r="L11" t="n">
        <v>369.5</v>
      </c>
      <c r="M11" t="n">
        <v>354</v>
      </c>
      <c r="N11" t="n">
        <v>352.5</v>
      </c>
      <c r="O11" t="n">
        <v>350.5</v>
      </c>
      <c r="P11" t="n">
        <v>345</v>
      </c>
      <c r="Q11" t="n">
        <v>343.5</v>
      </c>
      <c r="R11" s="2" t="n">
        <v>338.5</v>
      </c>
      <c r="S11" s="2" t="n">
        <v>339</v>
      </c>
      <c r="T11" s="2" t="n"/>
      <c r="U11" s="2" t="n"/>
    </row>
    <row r="12">
      <c r="A12" s="11" t="inlineStr">
        <is>
          <t>MA</t>
        </is>
      </c>
      <c r="B12" s="7" t="inlineStr">
        <is>
          <t>ICR (spline)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2" t="n"/>
      <c r="B13" s="8" t="inlineStr">
        <is>
          <t>Tibia origin (matlab)</t>
        </is>
      </c>
      <c r="C13" t="n">
        <v>366.43</v>
      </c>
      <c r="D13" t="n">
        <v>366.43</v>
      </c>
      <c r="E13" t="n">
        <v>366.43</v>
      </c>
      <c r="F13" t="n">
        <v>366.43</v>
      </c>
      <c r="G13" t="n">
        <v>366.43</v>
      </c>
      <c r="H13" t="n">
        <v>366.43</v>
      </c>
      <c r="I13" t="n">
        <v>366.43</v>
      </c>
      <c r="J13" t="n">
        <v>366.43</v>
      </c>
      <c r="K13" t="n">
        <v>366.43</v>
      </c>
      <c r="L13" t="n">
        <v>366.43</v>
      </c>
      <c r="M13" t="n">
        <v>366.43</v>
      </c>
      <c r="N13" t="n">
        <v>366.43</v>
      </c>
      <c r="O13" t="n">
        <v>366.43</v>
      </c>
      <c r="P13" t="n">
        <v>366.43</v>
      </c>
      <c r="Q13" t="n">
        <v>366.43</v>
      </c>
      <c r="R13" t="n">
        <v>366.43</v>
      </c>
      <c r="S13" t="n">
        <v>366.43</v>
      </c>
    </row>
    <row r="14">
      <c r="A14" s="12" t="n"/>
      <c r="B14" s="8" t="inlineStr">
        <is>
          <t>ICR to muscle</t>
        </is>
      </c>
      <c r="C14" t="n">
        <v>45</v>
      </c>
      <c r="D14" t="n">
        <v>47</v>
      </c>
      <c r="E14" t="n">
        <v>51</v>
      </c>
      <c r="F14" t="n">
        <v>45</v>
      </c>
      <c r="G14" t="n">
        <v>40</v>
      </c>
      <c r="H14" t="n">
        <v>37</v>
      </c>
      <c r="I14" t="n">
        <v>38</v>
      </c>
      <c r="J14" t="n">
        <v>39</v>
      </c>
      <c r="K14" t="n">
        <v>36.5</v>
      </c>
      <c r="L14" t="n">
        <v>35.5</v>
      </c>
      <c r="M14" t="n">
        <v>30.5</v>
      </c>
      <c r="N14" t="n">
        <v>20</v>
      </c>
      <c r="O14" t="n">
        <v>22</v>
      </c>
      <c r="P14" t="n">
        <v>16</v>
      </c>
      <c r="Q14" t="n">
        <v>4.5</v>
      </c>
      <c r="R14" t="n">
        <v>3</v>
      </c>
      <c r="S14" t="n">
        <v>10</v>
      </c>
    </row>
    <row r="15" customFormat="1" s="2">
      <c r="A15" s="13" t="n"/>
      <c r="B15" s="9" t="inlineStr">
        <is>
          <t>dl/dtheta</t>
        </is>
      </c>
    </row>
    <row r="16">
      <c r="B16" s="5" t="inlineStr">
        <is>
          <t>Torque</t>
        </is>
      </c>
      <c r="C16">
        <f>-C6*COS(RADIANS(C10-2.83))*C13/1000</f>
        <v/>
      </c>
      <c r="D16">
        <f>-D6*COS(RADIANS(D10-2.83))*D13/1000</f>
        <v/>
      </c>
      <c r="E16">
        <f>-E6*COS(RADIANS(E10-2.83))*E13/1000</f>
        <v/>
      </c>
      <c r="F16">
        <f>-F6*COS(RADIANS(F10-2.83))*F13/1000</f>
        <v/>
      </c>
      <c r="G16">
        <f>-G6*COS(RADIANS(G10-2.83))*G13/1000</f>
        <v/>
      </c>
      <c r="H16">
        <f>-H6*COS(RADIANS(H10-2.83))*H13/1000</f>
        <v/>
      </c>
      <c r="I16">
        <f>-I6*COS(RADIANS(I10-2.83))*I13/1000</f>
        <v/>
      </c>
      <c r="J16">
        <f>-J6*COS(RADIANS(J10-2.83))*J13/1000</f>
        <v/>
      </c>
      <c r="K16">
        <f>-K6*COS(RADIANS(K10-2.83))*K13/1000</f>
        <v/>
      </c>
      <c r="L16">
        <f>-L6*COS(RADIANS(L10-2.83))*L13/1000</f>
        <v/>
      </c>
      <c r="M16">
        <f>-M6*COS(RADIANS(M10-2.83))*M13/1000</f>
        <v/>
      </c>
      <c r="N16">
        <f>-N6*COS(RADIANS(N10-2.83))*N13/1000</f>
        <v/>
      </c>
      <c r="O16">
        <f>-O6*COS(RADIANS(O10-2.83))*O13/1000</f>
        <v/>
      </c>
      <c r="P16">
        <f>-P6*COS(RADIANS(P10-2.83))*P13/1000</f>
        <v/>
      </c>
      <c r="Q16">
        <f>-Q6*COS(RADIANS(Q10-2.83))*Q13/1000</f>
        <v/>
      </c>
      <c r="R16">
        <f>-R6*COS(RADIANS(R10-2.83))*R13/1000</f>
        <v/>
      </c>
      <c r="S16">
        <f>-S6*COS(RADIANS(S10-2.83))*S13/1000</f>
        <v/>
      </c>
    </row>
    <row r="17">
      <c r="B17" s="3" t="inlineStr">
        <is>
          <t>Torque actual</t>
        </is>
      </c>
      <c r="C17" t="n">
        <v>-8.843222911795941</v>
      </c>
      <c r="D17" t="n">
        <v>-7.38771014573315</v>
      </c>
      <c r="E17" t="n">
        <v>-6.12295907061857</v>
      </c>
      <c r="F17" t="n">
        <v>-5.11416855627929</v>
      </c>
      <c r="G17" t="n">
        <v>-4.00577506118469</v>
      </c>
      <c r="H17" t="n">
        <v>-3.08271954812317</v>
      </c>
      <c r="I17" t="n">
        <v>-3.04251451225018</v>
      </c>
      <c r="J17" t="n">
        <v>-2.5938436656752</v>
      </c>
      <c r="K17" t="n">
        <v>-1.86178531541841</v>
      </c>
      <c r="L17" t="n">
        <v>-0.774849368079027</v>
      </c>
      <c r="M17" t="n">
        <v>-4.65440909149842</v>
      </c>
      <c r="N17" t="n">
        <v>-3.19703540259264</v>
      </c>
      <c r="O17" t="n">
        <v>-2.57966382173969</v>
      </c>
      <c r="P17" t="n">
        <v>-0.959098909344151</v>
      </c>
      <c r="Q17" t="n">
        <v>-0.4995724173393</v>
      </c>
      <c r="R17" t="n">
        <v>-1.33299525437727</v>
      </c>
      <c r="S17" t="n">
        <v>-0.7727243055183109</v>
      </c>
    </row>
    <row r="18">
      <c r="J18" t="inlineStr">
        <is>
          <t>*BPA Started to kink at 7</t>
        </is>
      </c>
    </row>
    <row r="19">
      <c r="M19" t="inlineStr">
        <is>
          <t>**Pressure stepped up from 300kPa to 500kPa on test 11-15</t>
        </is>
      </c>
    </row>
    <row r="20">
      <c r="R20" t="inlineStr">
        <is>
          <t>***Pressure stepped up from 500kPa to 620kPa on test 16</t>
        </is>
      </c>
    </row>
    <row r="21">
      <c r="B21" s="3" t="inlineStr">
        <is>
          <t>Moment arm</t>
        </is>
      </c>
      <c r="C21" s="3" t="inlineStr">
        <is>
          <t>Torque actual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I11" sqref="I11"/>
    </sheetView>
  </sheetViews>
  <sheetFormatPr baseColWidth="8" defaultRowHeight="14.4"/>
  <cols>
    <col width="9.109375" customWidth="1" style="3" min="1" max="1"/>
    <col width="25.109375" customWidth="1" style="3" min="2" max="2"/>
    <col width="12.33203125" customWidth="1" min="3" max="3"/>
    <col width="8.6640625" customWidth="1" min="5" max="5"/>
    <col width="11.33203125" customWidth="1" min="6" max="6"/>
    <col width="13.33203125" customWidth="1" min="7" max="7"/>
    <col width="13.44140625" customWidth="1" min="8" max="9"/>
    <col width="14" customWidth="1" min="10" max="10"/>
  </cols>
  <sheetData>
    <row r="1">
      <c r="A1" s="3" t="inlineStr">
        <is>
          <t>Flexor Test 20mm</t>
        </is>
      </c>
    </row>
    <row r="2">
      <c r="A2" s="3" t="inlineStr">
        <is>
          <t>Resting muscle length</t>
        </is>
      </c>
      <c r="C2" t="n">
        <v>390</v>
      </c>
      <c r="E2" s="15" t="inlineStr">
        <is>
          <t>"@" 620 kPa</t>
        </is>
      </c>
      <c r="F2" s="16" t="n"/>
      <c r="G2" t="inlineStr">
        <is>
          <t>"@" 600 kPa</t>
        </is>
      </c>
    </row>
    <row r="3">
      <c r="B3" s="3" t="inlineStr">
        <is>
          <t>expected max contract</t>
        </is>
      </c>
      <c r="C3">
        <f>C2*(1-0.25)</f>
        <v/>
      </c>
      <c r="D3" s="14" t="inlineStr">
        <is>
          <t>actual</t>
        </is>
      </c>
      <c r="E3" s="17" t="n">
        <v>289</v>
      </c>
      <c r="F3" s="18">
        <f>(C2-E3)/C2</f>
        <v/>
      </c>
      <c r="G3" t="n">
        <v>290</v>
      </c>
      <c r="H3">
        <f>(C2-G3)/C2</f>
        <v/>
      </c>
      <c r="M3">
        <f>1-369.5/423</f>
        <v/>
      </c>
    </row>
    <row r="4">
      <c r="B4" s="3" t="inlineStr">
        <is>
          <t>tendon length</t>
        </is>
      </c>
      <c r="C4" t="n">
        <v>17</v>
      </c>
      <c r="D4" t="inlineStr">
        <is>
          <t>actual</t>
        </is>
      </c>
      <c r="I4" t="inlineStr">
        <is>
          <t>*</t>
        </is>
      </c>
      <c r="M4" t="inlineStr">
        <is>
          <t>**</t>
        </is>
      </c>
      <c r="R4" t="inlineStr">
        <is>
          <t>***</t>
        </is>
      </c>
    </row>
    <row r="5" customFormat="1" s="10">
      <c r="B5" s="4" t="inlineStr">
        <is>
          <t>Test #</t>
        </is>
      </c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  <c r="M5" s="10" t="n">
        <v>11</v>
      </c>
      <c r="N5" s="10" t="n">
        <v>12</v>
      </c>
      <c r="O5" s="10" t="n">
        <v>13</v>
      </c>
      <c r="P5" s="10" t="n">
        <v>14</v>
      </c>
      <c r="Q5" s="10" t="n">
        <v>15</v>
      </c>
      <c r="R5" s="10" t="n">
        <v>16</v>
      </c>
      <c r="S5" s="10" t="n">
        <v>17</v>
      </c>
    </row>
    <row r="6">
      <c r="B6" s="5" t="inlineStr">
        <is>
          <t>Load (N)</t>
        </is>
      </c>
      <c r="C6" t="n">
        <v>18</v>
      </c>
      <c r="D6" t="n">
        <v>37</v>
      </c>
      <c r="E6" t="n">
        <v>18.5</v>
      </c>
      <c r="F6" t="n">
        <v>32</v>
      </c>
      <c r="G6" t="n">
        <v>44</v>
      </c>
      <c r="H6" t="n">
        <v>53</v>
      </c>
      <c r="I6" t="n">
        <v>61</v>
      </c>
    </row>
    <row r="7">
      <c r="B7" s="6" t="inlineStr">
        <is>
          <t>Knee angle</t>
        </is>
      </c>
      <c r="C7" t="n">
        <v>-124</v>
      </c>
      <c r="D7" t="n">
        <v>-98.5</v>
      </c>
      <c r="E7" t="n">
        <v>-118.5</v>
      </c>
      <c r="F7" t="n">
        <v>-111</v>
      </c>
      <c r="G7" t="n">
        <v>-90</v>
      </c>
      <c r="H7" t="n">
        <v>-75</v>
      </c>
      <c r="I7" t="n">
        <v>-64</v>
      </c>
    </row>
    <row r="8">
      <c r="B8" s="7" t="inlineStr">
        <is>
          <t>Pressure (kPa</t>
        </is>
      </c>
      <c r="C8" t="n">
        <v>610</v>
      </c>
      <c r="D8" t="n">
        <v>609</v>
      </c>
      <c r="E8" t="n">
        <v>608.75</v>
      </c>
      <c r="F8" t="n">
        <v>608</v>
      </c>
      <c r="G8" t="n">
        <v>608</v>
      </c>
      <c r="H8" t="n">
        <v>608</v>
      </c>
      <c r="I8" t="n">
        <v>606.5</v>
      </c>
    </row>
    <row r="9" customFormat="1" s="1">
      <c r="A9" s="11" t="inlineStr">
        <is>
          <t>Hand</t>
        </is>
      </c>
      <c r="B9" s="7" t="inlineStr">
        <is>
          <t>Load cell angle (real ICR)</t>
        </is>
      </c>
    </row>
    <row r="10">
      <c r="A10" s="12" t="n"/>
      <c r="B10" s="8" t="inlineStr">
        <is>
          <t>Load cell angle (tibia)</t>
        </is>
      </c>
      <c r="C10" t="n">
        <v>29</v>
      </c>
      <c r="D10" t="n">
        <v>31</v>
      </c>
      <c r="E10" t="n">
        <v>31</v>
      </c>
      <c r="F10" t="n">
        <v>27</v>
      </c>
      <c r="G10" t="n">
        <v>28</v>
      </c>
      <c r="H10" t="n">
        <v>24</v>
      </c>
      <c r="I10" t="n">
        <v>20</v>
      </c>
    </row>
    <row r="11" customFormat="1" s="1">
      <c r="A11" s="12" t="n"/>
      <c r="B11" s="8" t="inlineStr">
        <is>
          <t>muscle length</t>
        </is>
      </c>
      <c r="C11" t="n">
        <v>330</v>
      </c>
      <c r="D11" t="n">
        <v>331</v>
      </c>
      <c r="E11" t="n">
        <v>328</v>
      </c>
      <c r="F11" t="n">
        <v>330</v>
      </c>
      <c r="G11" t="n">
        <v>333</v>
      </c>
      <c r="H11" t="n">
        <v>337</v>
      </c>
      <c r="R11" s="2" t="n"/>
      <c r="S11" s="2" t="n"/>
      <c r="T11" s="2" t="n"/>
      <c r="U11" s="2" t="n"/>
    </row>
    <row r="12">
      <c r="A12" s="11" t="inlineStr">
        <is>
          <t>MA</t>
        </is>
      </c>
      <c r="B12" s="7" t="inlineStr">
        <is>
          <t>ICR (spline)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2" t="n"/>
      <c r="B13" s="8" t="inlineStr">
        <is>
          <t>Tibia origin (matlab)</t>
        </is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</row>
    <row r="14">
      <c r="A14" s="12" t="n"/>
      <c r="B14" s="8" t="inlineStr">
        <is>
          <t>ICR to muscle</t>
        </is>
      </c>
      <c r="C14" t="n">
        <v>10</v>
      </c>
      <c r="D14" t="n">
        <v>25</v>
      </c>
      <c r="E14" t="n">
        <v>15</v>
      </c>
      <c r="F14" t="n">
        <v>20</v>
      </c>
      <c r="G14" t="n">
        <v>25</v>
      </c>
      <c r="H14" t="n">
        <v>25</v>
      </c>
    </row>
    <row r="15" customFormat="1" s="2">
      <c r="A15" s="13" t="n"/>
      <c r="B15" s="9" t="inlineStr">
        <is>
          <t>dl/dtheta</t>
        </is>
      </c>
    </row>
    <row r="16">
      <c r="B16" s="5" t="inlineStr">
        <is>
          <t>Torque</t>
        </is>
      </c>
      <c r="C16">
        <f>-C6*COS(RADIANS(C10-2.83))*C13/1000</f>
        <v/>
      </c>
      <c r="D16">
        <f>-D6*COS(RADIANS(D10-2.83))*D13/1000</f>
        <v/>
      </c>
      <c r="E16">
        <f>-E6*COS(RADIANS(E10-2.83))*E13/1000</f>
        <v/>
      </c>
      <c r="F16">
        <f>-F6*COS(RADIANS(F10-2.83))*F13/1000</f>
        <v/>
      </c>
      <c r="G16">
        <f>-G6*COS(RADIANS(G10-2.83))*G13/1000</f>
        <v/>
      </c>
      <c r="H16">
        <f>-H6*COS(RADIANS(H10-2.83))*H13/1000</f>
        <v/>
      </c>
      <c r="I16">
        <f>-I6*COS(RADIANS(I10-2.83))*I13/1000</f>
        <v/>
      </c>
      <c r="J16">
        <f>-J6*COS(RADIANS(J10-2.83))*J13/1000</f>
        <v/>
      </c>
      <c r="K16">
        <f>-K6*COS(RADIANS(K10-2.83))*K13/1000</f>
        <v/>
      </c>
      <c r="L16">
        <f>-L6*COS(RADIANS(L10-2.83))*L13/1000</f>
        <v/>
      </c>
      <c r="M16">
        <f>-M6*COS(RADIANS(M10-2.83))*M13/1000</f>
        <v/>
      </c>
      <c r="N16">
        <f>-N6*COS(RADIANS(N10-2.83))*N13/1000</f>
        <v/>
      </c>
      <c r="O16">
        <f>-O6*COS(RADIANS(O10-2.83))*O13/1000</f>
        <v/>
      </c>
      <c r="P16">
        <f>-P6*COS(RADIANS(P10-2.83))*P13/1000</f>
        <v/>
      </c>
      <c r="Q16">
        <f>-Q6*COS(RADIANS(Q10-2.83))*Q13/1000</f>
        <v/>
      </c>
      <c r="R16">
        <f>-R6*COS(RADIANS(R10-2.83))*R13/1000</f>
        <v/>
      </c>
      <c r="S16">
        <f>-S6*COS(RADIANS(S10-2.83))*S13/1000</f>
        <v/>
      </c>
    </row>
    <row r="17">
      <c r="B17" s="3" t="inlineStr">
        <is>
          <t>Torque actual</t>
        </is>
      </c>
    </row>
    <row r="21">
      <c r="B21" s="3" t="inlineStr">
        <is>
          <t>Moment arm</t>
        </is>
      </c>
      <c r="C21" s="3" t="inlineStr">
        <is>
          <t>Torque actual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G36" sqref="G36"/>
    </sheetView>
  </sheetViews>
  <sheetFormatPr baseColWidth="8" defaultRowHeight="14.4"/>
  <cols>
    <col width="9.109375" customWidth="1" style="3" min="1" max="1"/>
    <col width="25.109375" customWidth="1" style="3" min="2" max="2"/>
    <col width="12.33203125" customWidth="1" min="3" max="3"/>
    <col width="8.6640625" customWidth="1" min="5" max="5"/>
    <col width="11.33203125" customWidth="1" min="6" max="6"/>
    <col width="13.33203125" customWidth="1" min="7" max="7"/>
    <col width="13.44140625" customWidth="1" min="8" max="9"/>
    <col width="14" customWidth="1" min="10" max="10"/>
  </cols>
  <sheetData>
    <row r="1">
      <c r="A1" s="3" t="inlineStr">
        <is>
          <t>Flexor Test 20mm</t>
        </is>
      </c>
    </row>
    <row r="2">
      <c r="A2" s="3" t="inlineStr">
        <is>
          <t>Resting muscle length</t>
        </is>
      </c>
      <c r="C2" t="n">
        <v>390</v>
      </c>
      <c r="E2" s="15" t="inlineStr">
        <is>
          <t>"@" 620 kPa</t>
        </is>
      </c>
      <c r="F2" s="16" t="n"/>
      <c r="G2" t="inlineStr">
        <is>
          <t>"@" 600 kPa</t>
        </is>
      </c>
    </row>
    <row r="3">
      <c r="B3" s="3" t="inlineStr">
        <is>
          <t>expected max contract</t>
        </is>
      </c>
      <c r="C3">
        <f>C2*(1-0.25)</f>
        <v/>
      </c>
      <c r="D3" s="14" t="inlineStr">
        <is>
          <t>actual</t>
        </is>
      </c>
      <c r="E3" s="17" t="n">
        <v>289</v>
      </c>
      <c r="F3" s="18">
        <f>(C2-E3)/C2</f>
        <v/>
      </c>
      <c r="G3" t="n">
        <v>290</v>
      </c>
      <c r="H3">
        <f>(C2-G3)/C2</f>
        <v/>
      </c>
      <c r="M3">
        <f>1-369.5/423</f>
        <v/>
      </c>
    </row>
    <row r="4">
      <c r="B4" s="3" t="inlineStr">
        <is>
          <t>tendon length</t>
        </is>
      </c>
      <c r="C4" t="n">
        <v>25</v>
      </c>
      <c r="D4" t="inlineStr">
        <is>
          <t>actual</t>
        </is>
      </c>
      <c r="G4" t="inlineStr">
        <is>
          <t>*</t>
        </is>
      </c>
    </row>
    <row r="5" customFormat="1" s="10">
      <c r="B5" s="4" t="inlineStr">
        <is>
          <t>Test #</t>
        </is>
      </c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  <c r="M5" s="10" t="n">
        <v>11</v>
      </c>
      <c r="N5" s="10" t="n">
        <v>12</v>
      </c>
      <c r="O5" s="10" t="n">
        <v>13</v>
      </c>
      <c r="P5" s="10" t="n">
        <v>14</v>
      </c>
      <c r="Q5" s="10" t="n">
        <v>15</v>
      </c>
      <c r="R5" s="10" t="n">
        <v>16</v>
      </c>
      <c r="S5" s="10" t="n">
        <v>17</v>
      </c>
    </row>
    <row r="6">
      <c r="B6" s="5" t="inlineStr">
        <is>
          <t>Load (N)</t>
        </is>
      </c>
      <c r="C6" t="n">
        <v>10.6</v>
      </c>
      <c r="D6" t="n">
        <v>28.6</v>
      </c>
      <c r="E6" t="n">
        <v>36.9</v>
      </c>
      <c r="F6" t="n">
        <v>50.45</v>
      </c>
    </row>
    <row r="7">
      <c r="B7" s="6" t="inlineStr">
        <is>
          <t>Knee angle</t>
        </is>
      </c>
      <c r="C7" t="n">
        <v>-125</v>
      </c>
      <c r="D7" t="n">
        <v>-112</v>
      </c>
      <c r="E7" t="n">
        <v>-91.5</v>
      </c>
      <c r="F7" t="n">
        <v>-75</v>
      </c>
    </row>
    <row r="8">
      <c r="B8" s="7" t="inlineStr">
        <is>
          <t>Pressure (kPa</t>
        </is>
      </c>
      <c r="C8" t="n">
        <v>608</v>
      </c>
      <c r="D8" t="n">
        <v>610</v>
      </c>
      <c r="E8" t="n">
        <v>610</v>
      </c>
      <c r="F8" t="n">
        <v>608</v>
      </c>
    </row>
    <row r="9" customFormat="1" s="1">
      <c r="A9" s="11" t="inlineStr">
        <is>
          <t>Hand</t>
        </is>
      </c>
      <c r="B9" s="7" t="inlineStr">
        <is>
          <t>Load cell angle (real ICR)</t>
        </is>
      </c>
    </row>
    <row r="10">
      <c r="A10" s="12" t="n"/>
      <c r="B10" s="8" t="inlineStr">
        <is>
          <t>Load cell angle (tibia)</t>
        </is>
      </c>
      <c r="C10" t="n">
        <v>33</v>
      </c>
      <c r="D10" t="n">
        <v>31.5</v>
      </c>
      <c r="E10" t="n">
        <v>30</v>
      </c>
      <c r="F10" t="n">
        <v>26.5</v>
      </c>
    </row>
    <row r="11" customFormat="1" s="1">
      <c r="A11" s="12" t="n"/>
      <c r="B11" s="8" t="inlineStr">
        <is>
          <t>muscle length</t>
        </is>
      </c>
      <c r="C11" t="n">
        <v>325</v>
      </c>
      <c r="D11" t="n">
        <v>327</v>
      </c>
      <c r="E11" t="n">
        <v>332</v>
      </c>
      <c r="F11" t="n">
        <v>335</v>
      </c>
      <c r="R11" s="2" t="n"/>
      <c r="S11" s="2" t="n"/>
      <c r="T11" s="2" t="n"/>
      <c r="U11" s="2" t="n"/>
    </row>
    <row r="12">
      <c r="A12" s="11" t="inlineStr">
        <is>
          <t>MA</t>
        </is>
      </c>
      <c r="B12" s="7" t="inlineStr">
        <is>
          <t>ICR (spline)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2" t="n"/>
      <c r="B13" s="8" t="inlineStr">
        <is>
          <t>Tibia origin (matlab)</t>
        </is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</row>
    <row r="14">
      <c r="A14" s="12" t="n"/>
      <c r="B14" s="8" t="inlineStr">
        <is>
          <t>ICR to muscle</t>
        </is>
      </c>
      <c r="C14" t="n">
        <v>10</v>
      </c>
      <c r="D14" t="n">
        <v>15</v>
      </c>
      <c r="E14" t="n">
        <v>25</v>
      </c>
      <c r="F14" t="n">
        <v>25</v>
      </c>
    </row>
    <row r="15" customFormat="1" s="2">
      <c r="A15" s="13" t="n"/>
      <c r="B15" s="9" t="inlineStr">
        <is>
          <t>dl/dtheta</t>
        </is>
      </c>
    </row>
    <row r="16">
      <c r="B16" s="5" t="inlineStr">
        <is>
          <t>Torque</t>
        </is>
      </c>
      <c r="C16">
        <f>-C6*COS(RADIANS(C10-2.83))*C13/1000</f>
        <v/>
      </c>
      <c r="D16">
        <f>-D6*COS(RADIANS(D10-2.83))*D13/1000</f>
        <v/>
      </c>
      <c r="E16">
        <f>-E6*COS(RADIANS(E10-2.83))*E13/1000</f>
        <v/>
      </c>
      <c r="F16">
        <f>-F6*COS(RADIANS(F10-2.83))*F13/1000</f>
        <v/>
      </c>
      <c r="G16">
        <f>-G6*COS(RADIANS(G10-2.83))*G13/1000</f>
        <v/>
      </c>
      <c r="H16">
        <f>-H6*COS(RADIANS(H10-2.83))*H13/1000</f>
        <v/>
      </c>
      <c r="I16">
        <f>-I6*COS(RADIANS(I10-2.83))*I13/1000</f>
        <v/>
      </c>
      <c r="J16">
        <f>-J6*COS(RADIANS(J10-2.83))*J13/1000</f>
        <v/>
      </c>
      <c r="K16">
        <f>-K6*COS(RADIANS(K10-2.83))*K13/1000</f>
        <v/>
      </c>
      <c r="L16">
        <f>-L6*COS(RADIANS(L10-2.83))*L13/1000</f>
        <v/>
      </c>
      <c r="M16">
        <f>-M6*COS(RADIANS(M10-2.83))*M13/1000</f>
        <v/>
      </c>
      <c r="N16">
        <f>-N6*COS(RADIANS(N10-2.83))*N13/1000</f>
        <v/>
      </c>
      <c r="O16">
        <f>-O6*COS(RADIANS(O10-2.83))*O13/1000</f>
        <v/>
      </c>
      <c r="P16">
        <f>-P6*COS(RADIANS(P10-2.83))*P13/1000</f>
        <v/>
      </c>
      <c r="Q16">
        <f>-Q6*COS(RADIANS(Q10-2.83))*Q13/1000</f>
        <v/>
      </c>
      <c r="R16">
        <f>-R6*COS(RADIANS(R10-2.83))*R13/1000</f>
        <v/>
      </c>
      <c r="S16">
        <f>-S6*COS(RADIANS(S10-2.83))*S13/1000</f>
        <v/>
      </c>
    </row>
    <row r="17">
      <c r="B17" s="3" t="inlineStr">
        <is>
          <t>Torque actual</t>
        </is>
      </c>
      <c r="G17" t="inlineStr">
        <is>
          <t>*tibia ring broke</t>
        </is>
      </c>
    </row>
    <row r="21">
      <c r="B21" s="3" t="inlineStr">
        <is>
          <t>Moment arm</t>
        </is>
      </c>
      <c r="C21" s="3" t="inlineStr">
        <is>
          <t>Torque actual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N35" sqref="N35"/>
    </sheetView>
  </sheetViews>
  <sheetFormatPr baseColWidth="8" defaultRowHeight="14.4"/>
  <cols>
    <col width="9.109375" customWidth="1" style="3" min="1" max="1"/>
    <col width="25.109375" customWidth="1" style="3" min="2" max="2"/>
    <col width="12.33203125" customWidth="1" min="3" max="3"/>
    <col width="8.6640625" customWidth="1" min="5" max="5"/>
    <col width="11.33203125" customWidth="1" min="6" max="6"/>
    <col width="13.33203125" customWidth="1" min="7" max="7"/>
    <col width="13.44140625" customWidth="1" min="8" max="9"/>
    <col width="14" customWidth="1" min="10" max="10"/>
  </cols>
  <sheetData>
    <row r="1">
      <c r="A1" s="3" t="inlineStr">
        <is>
          <t>Flexor Test 20mm</t>
        </is>
      </c>
    </row>
    <row r="2">
      <c r="A2" s="3" t="inlineStr">
        <is>
          <t>Resting muscle length</t>
        </is>
      </c>
      <c r="C2" t="n">
        <v>420</v>
      </c>
      <c r="E2" s="15" t="inlineStr">
        <is>
          <t>"@" 620 kPa</t>
        </is>
      </c>
      <c r="F2" s="16" t="n"/>
      <c r="G2" t="inlineStr">
        <is>
          <t>"@" 600 kPa</t>
        </is>
      </c>
    </row>
    <row r="3">
      <c r="B3" s="3" t="inlineStr">
        <is>
          <t>expected max contract</t>
        </is>
      </c>
      <c r="C3">
        <f>C2*(1-0.25)</f>
        <v/>
      </c>
      <c r="D3" s="14" t="inlineStr">
        <is>
          <t>actual</t>
        </is>
      </c>
      <c r="E3" s="17" t="n"/>
      <c r="F3" s="18">
        <f>(C2-E3)/C2</f>
        <v/>
      </c>
      <c r="H3">
        <f>(C2-G3)/C2</f>
        <v/>
      </c>
    </row>
    <row r="4">
      <c r="B4" s="3" t="inlineStr">
        <is>
          <t>tendon length</t>
        </is>
      </c>
      <c r="C4" t="n">
        <v>15</v>
      </c>
      <c r="D4" t="inlineStr">
        <is>
          <t>actual</t>
        </is>
      </c>
    </row>
    <row r="5" customFormat="1" s="10">
      <c r="B5" s="4" t="inlineStr">
        <is>
          <t>Test #</t>
        </is>
      </c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  <c r="M5" s="10" t="n">
        <v>11</v>
      </c>
      <c r="N5" s="10" t="n">
        <v>12</v>
      </c>
      <c r="O5" s="10" t="n">
        <v>13</v>
      </c>
      <c r="P5" s="10" t="n">
        <v>14</v>
      </c>
      <c r="Q5" s="10" t="n">
        <v>15</v>
      </c>
      <c r="R5" s="10" t="n">
        <v>16</v>
      </c>
      <c r="S5" s="10" t="n">
        <v>17</v>
      </c>
    </row>
    <row r="6">
      <c r="B6" s="5" t="inlineStr">
        <is>
          <t>Load (N)</t>
        </is>
      </c>
      <c r="C6" t="n">
        <v>5.3</v>
      </c>
      <c r="D6" t="n">
        <v>19.83</v>
      </c>
      <c r="E6" t="n">
        <v>31.35</v>
      </c>
      <c r="F6" t="n">
        <v>44.78</v>
      </c>
      <c r="G6" t="n">
        <v>56.1</v>
      </c>
      <c r="H6" t="n">
        <v>68.12</v>
      </c>
      <c r="I6" t="n">
        <v>74.90000000000001</v>
      </c>
      <c r="J6" t="n">
        <v>78.14</v>
      </c>
    </row>
    <row r="7">
      <c r="B7" s="6" t="inlineStr">
        <is>
          <t>Knee angle</t>
        </is>
      </c>
      <c r="C7" t="n">
        <v>-125</v>
      </c>
      <c r="D7" t="n">
        <v>-112</v>
      </c>
      <c r="E7" t="n">
        <v>-93</v>
      </c>
      <c r="F7" t="n">
        <v>-80</v>
      </c>
      <c r="G7" t="n">
        <v>-75</v>
      </c>
      <c r="H7" t="n">
        <v>-52</v>
      </c>
      <c r="I7" t="n">
        <v>-42</v>
      </c>
      <c r="J7" t="n">
        <v>-32</v>
      </c>
    </row>
    <row r="8">
      <c r="B8" s="7" t="inlineStr">
        <is>
          <t>Pressure (kPa</t>
        </is>
      </c>
      <c r="C8" t="n">
        <v>614</v>
      </c>
      <c r="D8" t="n">
        <v>613.5700000000001</v>
      </c>
      <c r="E8" t="n">
        <v>613.5700000000001</v>
      </c>
      <c r="F8" t="n">
        <v>618</v>
      </c>
      <c r="G8" t="n">
        <v>617</v>
      </c>
      <c r="H8" t="n">
        <v>615</v>
      </c>
      <c r="I8" t="n">
        <v>618</v>
      </c>
      <c r="J8" t="n">
        <v>620</v>
      </c>
    </row>
    <row r="9" customFormat="1" s="1">
      <c r="A9" s="11" t="inlineStr">
        <is>
          <t>Hand</t>
        </is>
      </c>
      <c r="B9" s="7" t="inlineStr">
        <is>
          <t>Load cell angle (real ICR)</t>
        </is>
      </c>
    </row>
    <row r="10">
      <c r="A10" s="12" t="n"/>
      <c r="B10" s="8" t="inlineStr">
        <is>
          <t>Load cell angle (tibia)</t>
        </is>
      </c>
      <c r="C10" t="n">
        <v>35</v>
      </c>
      <c r="D10" t="n">
        <v>32.5</v>
      </c>
      <c r="E10" t="n">
        <v>26.5</v>
      </c>
      <c r="F10" t="n">
        <v>25.5</v>
      </c>
      <c r="G10" t="n">
        <v>22</v>
      </c>
      <c r="H10" t="n">
        <v>22</v>
      </c>
      <c r="I10" t="n">
        <v>16</v>
      </c>
      <c r="J10" t="n">
        <v>12</v>
      </c>
    </row>
    <row r="11" customFormat="1" s="1">
      <c r="A11" s="12" t="n"/>
      <c r="B11" s="8" t="inlineStr">
        <is>
          <t>muscle length</t>
        </is>
      </c>
      <c r="C11" t="n">
        <v>330</v>
      </c>
      <c r="D11" t="n">
        <v>335</v>
      </c>
      <c r="E11" t="n">
        <v>339</v>
      </c>
      <c r="F11" t="n">
        <v>345</v>
      </c>
      <c r="G11" t="n">
        <v>350</v>
      </c>
      <c r="H11" t="n">
        <v>355</v>
      </c>
      <c r="I11" t="n">
        <v>357</v>
      </c>
      <c r="J11" t="n">
        <v>360</v>
      </c>
      <c r="R11" s="2" t="n"/>
      <c r="S11" s="2" t="n"/>
      <c r="T11" s="2" t="n"/>
      <c r="U11" s="2" t="n"/>
    </row>
    <row r="12">
      <c r="A12" s="11" t="inlineStr">
        <is>
          <t>MA</t>
        </is>
      </c>
      <c r="B12" s="7" t="inlineStr">
        <is>
          <t>ICR (spline)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2" t="n"/>
      <c r="B13" s="8" t="inlineStr">
        <is>
          <t>Tibia origin (matlab)</t>
        </is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</row>
    <row r="14">
      <c r="A14" s="12" t="n"/>
      <c r="B14" s="8" t="inlineStr">
        <is>
          <t>ICR to muscle</t>
        </is>
      </c>
      <c r="C14" t="n">
        <v>20</v>
      </c>
      <c r="D14" t="n">
        <v>25</v>
      </c>
      <c r="E14" t="n">
        <v>30</v>
      </c>
      <c r="F14" t="n">
        <v>37</v>
      </c>
      <c r="G14" t="n">
        <v>40</v>
      </c>
      <c r="H14" t="n">
        <v>45</v>
      </c>
      <c r="I14" t="n">
        <v>45</v>
      </c>
      <c r="J14" t="n">
        <v>45</v>
      </c>
    </row>
    <row r="15" customFormat="1" s="2">
      <c r="A15" s="13" t="n"/>
      <c r="B15" s="9" t="inlineStr">
        <is>
          <t>dl/dtheta</t>
        </is>
      </c>
    </row>
    <row r="16">
      <c r="B16" s="5" t="inlineStr">
        <is>
          <t>Torque</t>
        </is>
      </c>
      <c r="C16">
        <f>-C6*COS(RADIANS(C10-2.83))*C13/1000</f>
        <v/>
      </c>
      <c r="D16">
        <f>-D6*COS(RADIANS(D10-2.83))*D13/1000</f>
        <v/>
      </c>
      <c r="E16">
        <f>-E6*COS(RADIANS(E10-2.83))*E13/1000</f>
        <v/>
      </c>
      <c r="F16">
        <f>-F6*COS(RADIANS(F10-2.83))*F13/1000</f>
        <v/>
      </c>
      <c r="G16">
        <f>-G6*COS(RADIANS(G10-2.83))*G13/1000</f>
        <v/>
      </c>
      <c r="H16">
        <f>-H6*COS(RADIANS(H10-2.83))*H13/1000</f>
        <v/>
      </c>
      <c r="I16">
        <f>-I6*COS(RADIANS(I10-2.83))*I13/1000</f>
        <v/>
      </c>
      <c r="J16">
        <f>-J6*COS(RADIANS(J10-2.83))*J13/1000</f>
        <v/>
      </c>
      <c r="K16">
        <f>-K6*COS(RADIANS(K10-2.83))*K13/1000</f>
        <v/>
      </c>
      <c r="L16">
        <f>-L6*COS(RADIANS(L10-2.83))*L13/1000</f>
        <v/>
      </c>
      <c r="M16">
        <f>-M6*COS(RADIANS(M10-2.83))*M13/1000</f>
        <v/>
      </c>
      <c r="N16">
        <f>-N6*COS(RADIANS(N10-2.83))*N13/1000</f>
        <v/>
      </c>
      <c r="O16">
        <f>-O6*COS(RADIANS(O10-2.83))*O13/1000</f>
        <v/>
      </c>
      <c r="P16">
        <f>-P6*COS(RADIANS(P10-2.83))*P13/1000</f>
        <v/>
      </c>
      <c r="Q16">
        <f>-Q6*COS(RADIANS(Q10-2.83))*Q13/1000</f>
        <v/>
      </c>
      <c r="R16">
        <f>-R6*COS(RADIANS(R10-2.83))*R13/1000</f>
        <v/>
      </c>
      <c r="S16">
        <f>-S6*COS(RADIANS(S10-2.83))*S13/1000</f>
        <v/>
      </c>
    </row>
    <row r="17">
      <c r="B17" s="3" t="inlineStr">
        <is>
          <t>Torque actual</t>
        </is>
      </c>
      <c r="C17" t="n">
        <v>-1.5952</v>
      </c>
      <c r="D17" t="n">
        <v>-6.0761</v>
      </c>
      <c r="E17" t="n">
        <v>-10.0058</v>
      </c>
      <c r="F17" t="n">
        <v>-14.3527</v>
      </c>
      <c r="G17" t="n">
        <v>-18.339</v>
      </c>
      <c r="H17" t="n">
        <v>-22.1908</v>
      </c>
    </row>
    <row r="21">
      <c r="B21" s="3" t="inlineStr">
        <is>
          <t>Moment arm</t>
        </is>
      </c>
      <c r="C21" s="3" t="inlineStr">
        <is>
          <t>Torque actual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tabSelected="1" workbookViewId="0">
      <selection activeCell="G22" sqref="G22"/>
    </sheetView>
  </sheetViews>
  <sheetFormatPr baseColWidth="8" defaultRowHeight="14.4"/>
  <cols>
    <col width="9.109375" customWidth="1" style="3" min="1" max="1"/>
    <col width="25.109375" customWidth="1" style="3" min="2" max="2"/>
    <col width="12.33203125" customWidth="1" min="3" max="3"/>
    <col width="8.6640625" customWidth="1" min="5" max="5"/>
    <col width="11.33203125" customWidth="1" min="6" max="6"/>
    <col width="13.33203125" customWidth="1" min="7" max="7"/>
    <col width="13.44140625" customWidth="1" min="8" max="9"/>
    <col width="14" customWidth="1" min="10" max="10"/>
  </cols>
  <sheetData>
    <row r="1">
      <c r="A1" s="3" t="inlineStr">
        <is>
          <t>Flexor Test 20mm</t>
        </is>
      </c>
    </row>
    <row r="2">
      <c r="A2" s="3" t="inlineStr">
        <is>
          <t>Resting muscle length</t>
        </is>
      </c>
      <c r="C2" t="n">
        <v>415</v>
      </c>
      <c r="E2" s="15" t="inlineStr">
        <is>
          <t>"@" 620 kPa</t>
        </is>
      </c>
      <c r="F2" s="16" t="n"/>
      <c r="G2" t="inlineStr">
        <is>
          <t>"@" 600 kPa</t>
        </is>
      </c>
    </row>
    <row r="3">
      <c r="B3" s="3" t="inlineStr">
        <is>
          <t>expected max contract</t>
        </is>
      </c>
      <c r="C3" t="n">
        <v>314</v>
      </c>
      <c r="D3" s="14" t="inlineStr">
        <is>
          <t>actual</t>
        </is>
      </c>
      <c r="E3" s="17" t="n"/>
      <c r="F3" s="18">
        <f>(C2-E3)/C2</f>
        <v/>
      </c>
      <c r="H3">
        <f>(C2-G3)/C2</f>
        <v/>
      </c>
      <c r="U3" t="inlineStr">
        <is>
          <t>*</t>
        </is>
      </c>
      <c r="V3" t="inlineStr">
        <is>
          <t>**</t>
        </is>
      </c>
    </row>
    <row r="4" ht="15" customHeight="1" thickBot="1">
      <c r="B4" s="3" t="inlineStr">
        <is>
          <t>tendon length</t>
        </is>
      </c>
      <c r="C4" t="n">
        <v>14</v>
      </c>
      <c r="D4" t="inlineStr">
        <is>
          <t>actual</t>
        </is>
      </c>
      <c r="K4" t="inlineStr">
        <is>
          <t>*</t>
        </is>
      </c>
      <c r="U4" t="inlineStr">
        <is>
          <t>**</t>
        </is>
      </c>
      <c r="V4" t="inlineStr">
        <is>
          <t>***</t>
        </is>
      </c>
    </row>
    <row r="5" ht="15" customFormat="1" customHeight="1" s="27" thickBot="1">
      <c r="A5" s="23" t="n"/>
      <c r="B5" s="24" t="inlineStr">
        <is>
          <t>Test #</t>
        </is>
      </c>
      <c r="C5" s="25" t="n">
        <v>1</v>
      </c>
      <c r="D5" s="25" t="n">
        <v>2</v>
      </c>
      <c r="E5" s="25" t="n">
        <v>3</v>
      </c>
      <c r="F5" s="25" t="n">
        <v>4</v>
      </c>
      <c r="G5" s="25" t="n">
        <v>5</v>
      </c>
      <c r="H5" s="25" t="n">
        <v>6</v>
      </c>
      <c r="I5" s="25" t="n">
        <v>7</v>
      </c>
      <c r="J5" s="25" t="n">
        <v>8</v>
      </c>
      <c r="K5" s="26" t="n">
        <v>9</v>
      </c>
      <c r="L5" s="26" t="n">
        <v>10</v>
      </c>
      <c r="M5" s="26" t="n">
        <v>11</v>
      </c>
      <c r="N5" s="26" t="n">
        <v>12</v>
      </c>
      <c r="O5" s="26" t="n">
        <v>13</v>
      </c>
      <c r="P5" s="26" t="n">
        <v>14</v>
      </c>
      <c r="Q5" s="26" t="n">
        <v>15</v>
      </c>
      <c r="R5" s="26" t="n">
        <v>16</v>
      </c>
      <c r="S5" s="26" t="n">
        <v>17</v>
      </c>
      <c r="T5" s="26" t="n">
        <v>18</v>
      </c>
      <c r="U5" s="25" t="n">
        <v>19</v>
      </c>
      <c r="V5" s="25" t="n">
        <v>20</v>
      </c>
      <c r="W5" s="25" t="n">
        <v>21</v>
      </c>
      <c r="X5" s="25" t="n">
        <v>22</v>
      </c>
      <c r="Y5" s="27" t="n">
        <v>23</v>
      </c>
      <c r="Z5" s="27" t="n">
        <v>23</v>
      </c>
      <c r="AA5" s="27" t="n">
        <v>23</v>
      </c>
      <c r="AB5" s="27" t="n">
        <v>23</v>
      </c>
      <c r="AC5" s="27" t="n">
        <v>23</v>
      </c>
      <c r="AD5" s="27" t="n">
        <v>23</v>
      </c>
    </row>
    <row r="6">
      <c r="B6" s="13" t="inlineStr">
        <is>
          <t>Load (N)</t>
        </is>
      </c>
      <c r="C6" s="21" t="n">
        <v>18.5</v>
      </c>
      <c r="D6" s="21" t="n">
        <v>18.05</v>
      </c>
      <c r="E6" s="21" t="n">
        <v>32</v>
      </c>
      <c r="F6" s="21" t="n">
        <v>40.97</v>
      </c>
      <c r="G6" s="21" t="n">
        <v>44.4</v>
      </c>
      <c r="H6" s="21" t="n">
        <v>50.84</v>
      </c>
      <c r="I6" s="21" t="n">
        <v>62.45</v>
      </c>
      <c r="J6" s="21" t="n">
        <v>69.40000000000001</v>
      </c>
      <c r="K6" s="22" t="n">
        <v>91.7</v>
      </c>
      <c r="L6" s="22" t="n">
        <v>114.1</v>
      </c>
      <c r="M6" s="22" t="n">
        <v>129.8</v>
      </c>
      <c r="N6" s="22" t="n">
        <v>78</v>
      </c>
      <c r="O6" s="22" t="n">
        <v>92.78</v>
      </c>
      <c r="P6" s="22" t="n">
        <v>63.6</v>
      </c>
      <c r="Q6" s="22" t="n">
        <v>97.28</v>
      </c>
      <c r="R6" s="22" t="n">
        <v>71.92</v>
      </c>
      <c r="S6" s="22" t="n">
        <v>84.5</v>
      </c>
      <c r="T6" s="22" t="n">
        <v>93.90000000000001</v>
      </c>
      <c r="U6" s="21" t="n">
        <v>64.3</v>
      </c>
      <c r="V6" s="21" t="n">
        <v>70.59999999999999</v>
      </c>
      <c r="W6" s="21" t="n">
        <v>90.15000000000001</v>
      </c>
      <c r="X6" s="21" t="n">
        <v>70</v>
      </c>
    </row>
    <row r="7">
      <c r="B7" s="11" t="inlineStr">
        <is>
          <t>Knee angle</t>
        </is>
      </c>
      <c r="C7" s="19" t="n">
        <v>-125</v>
      </c>
      <c r="D7" s="19" t="n">
        <v>-114</v>
      </c>
      <c r="E7" s="19" t="n">
        <v>-98</v>
      </c>
      <c r="F7" s="19" t="n">
        <v>-83</v>
      </c>
      <c r="G7" s="19" t="n">
        <v>-75.5</v>
      </c>
      <c r="H7" s="19" t="n">
        <v>-69</v>
      </c>
      <c r="I7" s="19" t="n">
        <v>-55.5</v>
      </c>
      <c r="J7" s="19" t="n">
        <v>-53.001</v>
      </c>
      <c r="K7" s="20" t="n">
        <v>-53.01</v>
      </c>
      <c r="L7" s="20" t="n">
        <v>-41</v>
      </c>
      <c r="M7" s="20" t="n">
        <v>-30</v>
      </c>
      <c r="N7" s="20" t="n">
        <v>-26.01</v>
      </c>
      <c r="O7" s="20" t="n">
        <v>-26.001</v>
      </c>
      <c r="P7" s="20" t="n">
        <v>-18.5</v>
      </c>
      <c r="Q7" s="20" t="n">
        <v>-18</v>
      </c>
      <c r="R7" s="20" t="n">
        <v>-7</v>
      </c>
      <c r="S7" s="20" t="n">
        <v>-9</v>
      </c>
      <c r="T7" s="20" t="n">
        <v>0</v>
      </c>
      <c r="U7" s="19" t="n">
        <v>3</v>
      </c>
      <c r="V7" s="19" t="n">
        <v>7.7</v>
      </c>
      <c r="W7" s="19" t="n">
        <v>-6.5</v>
      </c>
      <c r="X7" s="19" t="n">
        <v>-32</v>
      </c>
    </row>
    <row r="8" ht="15" customFormat="1" customHeight="1" s="32" thickBot="1">
      <c r="A8" s="28" t="n"/>
      <c r="B8" s="29" t="inlineStr">
        <is>
          <t>Pressure (kPa</t>
        </is>
      </c>
      <c r="C8" s="30" t="n">
        <v>613</v>
      </c>
      <c r="D8" s="30" t="n">
        <v>614</v>
      </c>
      <c r="E8" s="30" t="n">
        <v>614</v>
      </c>
      <c r="F8" s="30" t="n">
        <v>615</v>
      </c>
      <c r="G8" s="30" t="n">
        <v>615</v>
      </c>
      <c r="H8" s="30" t="n">
        <v>615</v>
      </c>
      <c r="I8" s="30" t="n">
        <v>618</v>
      </c>
      <c r="J8" s="30" t="n">
        <v>618</v>
      </c>
      <c r="K8" s="31" t="n">
        <v>620</v>
      </c>
      <c r="L8" s="31" t="n">
        <v>620</v>
      </c>
      <c r="M8" s="31" t="n">
        <v>620</v>
      </c>
      <c r="N8" s="31" t="n">
        <v>385</v>
      </c>
      <c r="O8" s="31" t="n">
        <v>451</v>
      </c>
      <c r="P8" s="31" t="n">
        <v>296.6</v>
      </c>
      <c r="Q8" s="31" t="n">
        <v>421</v>
      </c>
      <c r="R8" s="31" t="n">
        <v>281</v>
      </c>
      <c r="S8" s="31" t="n">
        <v>324.8</v>
      </c>
      <c r="T8" s="31" t="n">
        <v>325.58</v>
      </c>
      <c r="U8" s="30" t="n">
        <v>325.58</v>
      </c>
      <c r="V8" s="30" t="n">
        <v>325</v>
      </c>
      <c r="W8" s="30" t="n">
        <v>500</v>
      </c>
      <c r="X8" s="30" t="n">
        <v>560</v>
      </c>
    </row>
    <row r="9">
      <c r="A9" s="12" t="inlineStr">
        <is>
          <t>Hand</t>
        </is>
      </c>
      <c r="B9" s="3" t="inlineStr">
        <is>
          <t>Load cell angle (real ICR)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1" t="n"/>
      <c r="V9" s="21" t="n"/>
      <c r="W9" s="21" t="n"/>
      <c r="X9" s="21" t="n"/>
    </row>
    <row r="10">
      <c r="A10" s="12" t="n"/>
      <c r="B10" s="3" t="inlineStr">
        <is>
          <t>Load cell angle (tibia)</t>
        </is>
      </c>
      <c r="C10" s="19" t="n">
        <v>32.5</v>
      </c>
      <c r="D10" s="19" t="n">
        <v>30</v>
      </c>
      <c r="E10" s="19" t="n">
        <v>28</v>
      </c>
      <c r="F10" s="19" t="n">
        <v>26</v>
      </c>
      <c r="G10" s="19" t="n">
        <v>24.5</v>
      </c>
      <c r="H10" s="19" t="n">
        <v>17</v>
      </c>
      <c r="I10" s="19" t="n">
        <v>20</v>
      </c>
      <c r="J10" s="19" t="n">
        <v>24</v>
      </c>
      <c r="K10" s="20" t="n">
        <v>-5</v>
      </c>
      <c r="L10" s="20" t="n">
        <v>-7</v>
      </c>
      <c r="M10" s="20" t="n">
        <v>-12</v>
      </c>
      <c r="N10" s="20" t="n">
        <v>-12</v>
      </c>
      <c r="O10" s="20" t="n">
        <v>-12</v>
      </c>
      <c r="P10" s="20" t="n">
        <v>-16.5</v>
      </c>
      <c r="Q10" s="20" t="n">
        <v>-15</v>
      </c>
      <c r="R10" s="20" t="n">
        <v>-19.5</v>
      </c>
      <c r="S10" s="20" t="n">
        <v>-15</v>
      </c>
      <c r="T10" s="20" t="n">
        <v>-17</v>
      </c>
      <c r="U10" s="19" t="n">
        <v>7</v>
      </c>
      <c r="V10" s="19" t="n">
        <v>5.5</v>
      </c>
      <c r="W10" s="19" t="n">
        <v>10</v>
      </c>
      <c r="X10" s="19" t="n">
        <v>13.5</v>
      </c>
    </row>
    <row r="11" ht="15" customFormat="1" customHeight="1" s="34" thickBot="1">
      <c r="A11" s="33" t="n"/>
      <c r="B11" s="28" t="inlineStr">
        <is>
          <t>muscle length</t>
        </is>
      </c>
      <c r="C11" s="30" t="n">
        <v>334</v>
      </c>
      <c r="D11" s="30" t="n">
        <v>334</v>
      </c>
      <c r="E11" s="30" t="n">
        <v>338</v>
      </c>
      <c r="F11" s="30" t="n">
        <v>343</v>
      </c>
      <c r="G11" s="30" t="inlineStr">
        <is>
          <t>NaN</t>
        </is>
      </c>
      <c r="H11" s="30" t="n">
        <v>348</v>
      </c>
      <c r="I11" s="30" t="n">
        <v>356</v>
      </c>
      <c r="J11" s="30" t="n">
        <v>356</v>
      </c>
      <c r="K11" s="31" t="n">
        <v>357</v>
      </c>
      <c r="L11" s="31" t="n">
        <v>365</v>
      </c>
      <c r="M11" s="31" t="n">
        <v>368</v>
      </c>
      <c r="N11" s="31" t="n">
        <v>381</v>
      </c>
      <c r="O11" s="31" t="n">
        <v>377</v>
      </c>
      <c r="P11" s="31" t="n">
        <v>387</v>
      </c>
      <c r="Q11" s="31" t="n">
        <v>385</v>
      </c>
      <c r="R11" s="31" t="n">
        <v>396</v>
      </c>
      <c r="S11" s="31" t="n">
        <v>392</v>
      </c>
      <c r="T11" s="31" t="n">
        <v>397</v>
      </c>
      <c r="U11" s="30" t="n">
        <v>398</v>
      </c>
      <c r="V11" s="30" t="n">
        <v>401</v>
      </c>
      <c r="W11" s="30" t="n">
        <v>384</v>
      </c>
      <c r="X11" s="30" t="n">
        <v>367</v>
      </c>
    </row>
    <row r="12">
      <c r="A12" s="12" t="inlineStr">
        <is>
          <t>MA</t>
        </is>
      </c>
      <c r="B12" s="3" t="inlineStr">
        <is>
          <t>ICR (spline)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1" t="n"/>
      <c r="V12" s="21" t="n"/>
      <c r="W12" s="21" t="n"/>
      <c r="X12" s="21" t="n"/>
    </row>
    <row r="13">
      <c r="A13" s="12" t="n"/>
      <c r="B13" s="3" t="inlineStr">
        <is>
          <t>Tibia origin (matlab)</t>
        </is>
      </c>
      <c r="C13" s="19" t="n">
        <v>350</v>
      </c>
      <c r="D13" s="19" t="n">
        <v>350</v>
      </c>
      <c r="E13" s="19" t="n">
        <v>350</v>
      </c>
      <c r="F13" s="19" t="n">
        <v>350</v>
      </c>
      <c r="G13" s="19" t="n">
        <v>350</v>
      </c>
      <c r="H13" s="19" t="n">
        <v>350</v>
      </c>
      <c r="I13" s="19" t="n">
        <v>350</v>
      </c>
      <c r="J13" s="19" t="n">
        <v>350</v>
      </c>
      <c r="K13" s="20" t="n">
        <v>255</v>
      </c>
      <c r="L13" s="20" t="n">
        <v>255</v>
      </c>
      <c r="M13" s="20" t="n">
        <v>255</v>
      </c>
      <c r="N13" s="20" t="n">
        <v>255</v>
      </c>
      <c r="O13" s="20" t="n">
        <v>255</v>
      </c>
      <c r="P13" s="20" t="n">
        <v>255</v>
      </c>
      <c r="Q13" s="20" t="n">
        <v>255</v>
      </c>
      <c r="R13" s="20" t="n">
        <v>255</v>
      </c>
      <c r="S13" s="20" t="n">
        <v>255</v>
      </c>
      <c r="T13" s="20" t="n">
        <v>255</v>
      </c>
      <c r="U13" s="19" t="n">
        <v>350</v>
      </c>
      <c r="V13" s="19" t="n">
        <v>350</v>
      </c>
      <c r="W13" s="19" t="n">
        <v>350</v>
      </c>
      <c r="X13" s="19" t="n">
        <v>350</v>
      </c>
      <c r="Y13" t="n">
        <v>350</v>
      </c>
      <c r="Z13" t="n">
        <v>350</v>
      </c>
      <c r="AA13" t="n">
        <v>350</v>
      </c>
      <c r="AB13" t="n">
        <v>350</v>
      </c>
      <c r="AC13" t="n">
        <v>350</v>
      </c>
      <c r="AD13" t="n">
        <v>350</v>
      </c>
    </row>
    <row r="14">
      <c r="A14" s="12" t="n"/>
      <c r="B14" s="3" t="inlineStr">
        <is>
          <t>ICR to muscle</t>
        </is>
      </c>
      <c r="C14" s="19" t="n">
        <v>25</v>
      </c>
      <c r="D14" s="19" t="n">
        <v>25</v>
      </c>
      <c r="E14" s="19" t="n">
        <v>35</v>
      </c>
      <c r="F14" s="19" t="n">
        <v>35</v>
      </c>
      <c r="G14" s="19" t="inlineStr">
        <is>
          <t>NaN</t>
        </is>
      </c>
      <c r="H14" s="19" t="n">
        <v>37</v>
      </c>
      <c r="I14" s="19" t="n">
        <v>40</v>
      </c>
      <c r="J14" s="19" t="n">
        <v>45</v>
      </c>
      <c r="K14" s="20" t="n">
        <v>48</v>
      </c>
      <c r="L14" s="20" t="n">
        <v>45</v>
      </c>
      <c r="M14" s="20" t="n">
        <v>40</v>
      </c>
      <c r="N14" s="20" t="n">
        <v>40</v>
      </c>
      <c r="O14" s="20" t="n">
        <v>40</v>
      </c>
      <c r="P14" s="20" t="n">
        <v>42</v>
      </c>
      <c r="Q14" s="20" t="n">
        <v>45</v>
      </c>
      <c r="R14" s="20" t="n">
        <v>46</v>
      </c>
      <c r="S14" s="20" t="n">
        <v>48</v>
      </c>
      <c r="T14" s="20" t="n">
        <v>48</v>
      </c>
      <c r="U14" s="19" t="n">
        <v>42</v>
      </c>
      <c r="V14" s="19" t="n">
        <v>43</v>
      </c>
      <c r="W14" s="19" t="n">
        <v>45</v>
      </c>
      <c r="X14" s="19" t="n">
        <v>38</v>
      </c>
    </row>
    <row r="15" ht="15" customFormat="1" customHeight="1" s="32" thickBot="1">
      <c r="A15" s="33" t="n"/>
      <c r="B15" s="28" t="inlineStr">
        <is>
          <t>dl/dtheta</t>
        </is>
      </c>
      <c r="C15" s="30" t="n"/>
      <c r="D15" s="30" t="n"/>
      <c r="E15" s="30" t="n"/>
      <c r="F15" s="30" t="n"/>
      <c r="G15" s="30" t="n"/>
      <c r="H15" s="30" t="n"/>
      <c r="I15" s="30" t="n"/>
      <c r="J15" s="30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0" t="n"/>
      <c r="V15" s="30" t="n"/>
      <c r="W15" s="30" t="n"/>
      <c r="X15" s="30" t="n"/>
    </row>
    <row r="16">
      <c r="B16" s="13" t="inlineStr">
        <is>
          <t>Torque</t>
        </is>
      </c>
      <c r="C16" s="21">
        <f>-C6*COS(RADIANS(C10-2.83))*C13/1000</f>
        <v/>
      </c>
      <c r="D16" s="21">
        <f>-D6*COS(RADIANS(D10-2.83))*D13/1000</f>
        <v/>
      </c>
      <c r="E16" s="21">
        <f>-E6*COS(RADIANS(E10-2.83))*E13/1000</f>
        <v/>
      </c>
      <c r="F16" s="21">
        <f>-F6*COS(RADIANS(F10-2.83))*F13/1000</f>
        <v/>
      </c>
      <c r="G16" s="21">
        <f>-G6*COS(RADIANS(G10-2.83))*G13/1000</f>
        <v/>
      </c>
      <c r="H16" s="21">
        <f>-H6*COS(RADIANS(H10-2.83))*H13/1000</f>
        <v/>
      </c>
      <c r="I16" s="21">
        <f>-I6*COS(RADIANS(I10-2.83))*I13/1000</f>
        <v/>
      </c>
      <c r="J16" s="21">
        <f>-J6*COS(RADIANS(J10-2.83))*J13/1000</f>
        <v/>
      </c>
      <c r="K16" s="22">
        <f>-K6*COS(RADIANS(K10-2.83))*K13/1000</f>
        <v/>
      </c>
      <c r="L16" s="22">
        <f>-L6*COS(RADIANS(L10-2.83))*L13/1000</f>
        <v/>
      </c>
      <c r="M16" s="22">
        <f>-M6*COS(RADIANS(M10-2.83))*M13/1000</f>
        <v/>
      </c>
      <c r="N16" s="22">
        <f>-N6*COS(RADIANS(N10-2.83))*N13/1000</f>
        <v/>
      </c>
      <c r="O16" s="22">
        <f>-O6*COS(RADIANS(O10-2.83))*O13/1000</f>
        <v/>
      </c>
      <c r="P16" s="22">
        <f>-P6*COS(RADIANS(P10-2.83))*P13/1000</f>
        <v/>
      </c>
      <c r="Q16" s="22">
        <f>-Q6*COS(RADIANS(Q10-2.83))*Q13/1000</f>
        <v/>
      </c>
      <c r="R16" s="22">
        <f>-R6*COS(RADIANS(R10-2.83))*R13/1000</f>
        <v/>
      </c>
      <c r="S16" s="22">
        <f>-S6*COS(RADIANS(S10-2.83))*S13/1000</f>
        <v/>
      </c>
      <c r="T16" s="22">
        <f>-T6*COS(RADIANS(T10-2.83))*T13/1000</f>
        <v/>
      </c>
      <c r="U16" s="21">
        <f>-U6*COS(RADIANS(U10-2.83))*U13/1000</f>
        <v/>
      </c>
      <c r="V16" s="21">
        <f>-V6*COS(RADIANS(V10-2.83))*V13/1000</f>
        <v/>
      </c>
      <c r="W16" s="21">
        <f>-W6*COS(RADIANS(W10-2.83))*W13/1000</f>
        <v/>
      </c>
      <c r="X16" s="21">
        <f>-X6*COS(RADIANS(X10-2.83))*X13/1000</f>
        <v/>
      </c>
      <c r="Y16">
        <f>-Y6*COS(RADIANS(Y10-2.83))*Y13/1000</f>
        <v/>
      </c>
      <c r="Z16">
        <f>-Z6*COS(RADIANS(Z10-2.83))*Z13/1000</f>
        <v/>
      </c>
      <c r="AA16">
        <f>-AA6*COS(RADIANS(AA10-2.83))*AA13/1000</f>
        <v/>
      </c>
      <c r="AB16">
        <f>-AB6*COS(RADIANS(AB10-2.83))*AB13/1000</f>
        <v/>
      </c>
      <c r="AC16">
        <f>-AC6*COS(RADIANS(AC10-2.83))*AC13/1000</f>
        <v/>
      </c>
      <c r="AD16">
        <f>-AD6*COS(RADIANS(AD10-2.83))*AD13/1000</f>
        <v/>
      </c>
    </row>
    <row r="17">
      <c r="B17" s="3" t="inlineStr">
        <is>
          <t>Torque actual</t>
        </is>
      </c>
      <c r="C17" s="19" t="n">
        <v>-5.6922</v>
      </c>
      <c r="D17" s="19" t="n">
        <v>-5.6461</v>
      </c>
      <c r="E17" s="19" t="n">
        <v>-10.119</v>
      </c>
      <c r="F17" s="19" t="n">
        <v>-13.0959</v>
      </c>
      <c r="G17" s="19" t="n">
        <v>-14.3096</v>
      </c>
      <c r="H17" s="19" t="n">
        <v>-16.9889</v>
      </c>
      <c r="I17" s="19" t="n">
        <v>-20.5703</v>
      </c>
      <c r="J17" s="19" t="n">
        <v>-22.3443</v>
      </c>
      <c r="K17" s="20" t="n">
        <v>-21.6006</v>
      </c>
      <c r="L17" s="20" t="n">
        <v>-26.7782</v>
      </c>
      <c r="M17" s="20" t="n">
        <v>-29.8989</v>
      </c>
      <c r="N17" s="20" t="n">
        <v>-17.9934</v>
      </c>
      <c r="O17" s="20" t="n">
        <v>-21.352</v>
      </c>
      <c r="P17" s="20" t="n">
        <v>-14.3414</v>
      </c>
      <c r="Q17" s="20" t="n">
        <v>-22.1444</v>
      </c>
      <c r="R17" s="20" t="n">
        <v>-15.9752</v>
      </c>
      <c r="S17" s="20" t="n">
        <v>-19.3052</v>
      </c>
      <c r="T17" s="20" t="n">
        <v>-21.282</v>
      </c>
      <c r="U17" s="19" t="n">
        <v>-21.9932</v>
      </c>
      <c r="V17" s="19" t="n">
        <v>-24.2025</v>
      </c>
      <c r="W17" s="19" t="n">
        <v>-30.6504</v>
      </c>
      <c r="X17" s="19" t="n">
        <v>-23.6068</v>
      </c>
    </row>
    <row r="18">
      <c r="K18" t="inlineStr">
        <is>
          <t>*Switched to shorter tibia</t>
        </is>
      </c>
      <c r="U18" t="inlineStr">
        <is>
          <t>*Switched back to long tibia</t>
        </is>
      </c>
    </row>
    <row r="19">
      <c r="U19" t="inlineStr">
        <is>
          <t>** 22.4N pretension</t>
        </is>
      </c>
      <c r="V19" t="inlineStr">
        <is>
          <t>**27.6N pretension</t>
        </is>
      </c>
    </row>
    <row r="20">
      <c r="F20" t="inlineStr">
        <is>
          <t>avg pres</t>
        </is>
      </c>
      <c r="V20" t="inlineStr">
        <is>
          <t>***411mm uninflated</t>
        </is>
      </c>
    </row>
    <row r="21">
      <c r="B21" s="3" t="inlineStr">
        <is>
          <t>Moment arm</t>
        </is>
      </c>
      <c r="C21" s="3" t="inlineStr">
        <is>
          <t>Torque actual</t>
        </is>
      </c>
      <c r="F21">
        <f>AVERAGE(C8:M8)</f>
        <v/>
      </c>
      <c r="V21" t="inlineStr">
        <is>
          <t>Max extension possible with current knee and test jig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cols>
    <col width="9.109375" customWidth="1" min="1" max="1"/>
    <col width="25.109375" customWidth="1" min="2" max="2"/>
    <col width="12.33203125" customWidth="1" min="3" max="3"/>
    <col width="8.6640625" customWidth="1" min="5" max="5"/>
    <col width="11.33203125" customWidth="1" min="6" max="6"/>
    <col width="13.33203125" customWidth="1" min="7" max="7"/>
    <col width="13.44140625" customWidth="1" min="8" max="8"/>
    <col width="14" customWidth="1" min="10" max="10"/>
  </cols>
  <sheetData>
    <row r="1">
      <c r="A1" s="3" t="inlineStr">
        <is>
          <t>Flexor Test 20mm</t>
        </is>
      </c>
    </row>
    <row r="2">
      <c r="A2" s="3" t="inlineStr">
        <is>
          <t>Resting muscle length</t>
        </is>
      </c>
    </row>
    <row r="3">
      <c r="B3" s="3" t="inlineStr">
        <is>
          <t>expected max contract</t>
        </is>
      </c>
      <c r="D3" s="14" t="inlineStr">
        <is>
          <t>actual</t>
        </is>
      </c>
    </row>
    <row r="4">
      <c r="B4" s="3" t="inlineStr">
        <is>
          <t>tendon length</t>
        </is>
      </c>
      <c r="D4" t="inlineStr">
        <is>
          <t>actual</t>
        </is>
      </c>
    </row>
    <row r="5">
      <c r="B5" s="24" t="inlineStr">
        <is>
          <t>Test #</t>
        </is>
      </c>
      <c r="C5" s="25" t="n">
        <v>1</v>
      </c>
      <c r="D5" s="25" t="n">
        <v>2</v>
      </c>
      <c r="E5" s="25" t="n">
        <v>3</v>
      </c>
      <c r="F5" s="25" t="n">
        <v>4</v>
      </c>
      <c r="G5" s="25" t="n">
        <v>5</v>
      </c>
      <c r="H5" s="25" t="n">
        <v>6</v>
      </c>
      <c r="I5" s="25" t="n">
        <v>7</v>
      </c>
      <c r="J5" s="25" t="n">
        <v>8</v>
      </c>
      <c r="K5" s="25" t="n">
        <v>9</v>
      </c>
      <c r="L5" s="25" t="n">
        <v>10</v>
      </c>
      <c r="M5" s="25" t="n">
        <v>11</v>
      </c>
      <c r="N5" s="25" t="n">
        <v>12</v>
      </c>
      <c r="O5" s="25" t="n">
        <v>13</v>
      </c>
      <c r="P5" s="25" t="n">
        <v>14</v>
      </c>
      <c r="Q5" s="25" t="n">
        <v>15</v>
      </c>
      <c r="R5" s="25" t="n">
        <v>16</v>
      </c>
      <c r="S5" s="25" t="n">
        <v>17</v>
      </c>
      <c r="T5" s="25" t="n">
        <v>18</v>
      </c>
      <c r="U5" s="25" t="n">
        <v>19</v>
      </c>
      <c r="V5" s="25" t="n">
        <v>20</v>
      </c>
      <c r="W5" s="25" t="n">
        <v>21</v>
      </c>
      <c r="X5" s="25" t="n">
        <v>22</v>
      </c>
    </row>
    <row r="6">
      <c r="B6" s="13" t="inlineStr">
        <is>
          <t>Load (N)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</row>
    <row r="7">
      <c r="B7" s="11" t="inlineStr">
        <is>
          <t>Knee angle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</row>
    <row r="8">
      <c r="B8" s="29" t="inlineStr">
        <is>
          <t>Pressure (kPa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</row>
    <row r="9">
      <c r="A9" s="12" t="inlineStr">
        <is>
          <t>Hand</t>
        </is>
      </c>
      <c r="B9" s="3" t="inlineStr">
        <is>
          <t>Load cell angle (real ICR)</t>
        </is>
      </c>
    </row>
    <row r="10">
      <c r="B10" s="3" t="inlineStr">
        <is>
          <t>Load cell angle (tibia)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</row>
    <row r="11">
      <c r="B11" s="28" t="inlineStr">
        <is>
          <t>muscle length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</row>
    <row r="12">
      <c r="A12" s="12" t="inlineStr">
        <is>
          <t>MA</t>
        </is>
      </c>
      <c r="B12" s="3" t="inlineStr">
        <is>
          <t>ICR (spline)</t>
        </is>
      </c>
    </row>
    <row r="13">
      <c r="B13" s="3" t="inlineStr">
        <is>
          <t>Tibia origin (matlab)</t>
        </is>
      </c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</row>
    <row r="14">
      <c r="B14" s="3" t="inlineStr">
        <is>
          <t>ICR to muscle</t>
        </is>
      </c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</row>
    <row r="15">
      <c r="B15" s="28" t="inlineStr">
        <is>
          <t>dl/dtheta</t>
        </is>
      </c>
    </row>
    <row r="16">
      <c r="B16" s="13" t="inlineStr">
        <is>
          <t>Torque</t>
        </is>
      </c>
      <c r="C16" s="21">
        <f>-C6*COS(RADIANS(C10-2.83))*C13/1000</f>
        <v/>
      </c>
      <c r="D16" s="21">
        <f>-D6*COS(RADIANS(D10-2.83))*D13/1000</f>
        <v/>
      </c>
      <c r="E16" s="21">
        <f>-E6*COS(RADIANS(E10-2.83))*E13/1000</f>
        <v/>
      </c>
      <c r="F16" s="21">
        <f>-F6*COS(RADIANS(F10-2.83))*F13/1000</f>
        <v/>
      </c>
      <c r="G16" s="21">
        <f>-G6*COS(RADIANS(G10-2.83))*G13/1000</f>
        <v/>
      </c>
      <c r="H16" s="21">
        <f>-H6*COS(RADIANS(H10-2.83))*H13/1000</f>
        <v/>
      </c>
      <c r="I16" s="21">
        <f>-I6*COS(RADIANS(I10-2.83))*I13/1000</f>
        <v/>
      </c>
      <c r="J16" s="21">
        <f>-J6*COS(RADIANS(J10-2.83))*J13/1000</f>
        <v/>
      </c>
      <c r="K16" s="21">
        <f>-K6*COS(RADIANS(K10-2.83))*K13/1000</f>
        <v/>
      </c>
      <c r="L16" s="21">
        <f>-L6*COS(RADIANS(L10-2.83))*L13/1000</f>
        <v/>
      </c>
      <c r="M16" s="21">
        <f>-M6*COS(RADIANS(M10-2.83))*M13/1000</f>
        <v/>
      </c>
      <c r="N16" s="21">
        <f>-N6*COS(RADIANS(N10-2.83))*N13/1000</f>
        <v/>
      </c>
      <c r="O16" s="21">
        <f>-O6*COS(RADIANS(O10-2.83))*O13/1000</f>
        <v/>
      </c>
      <c r="P16" s="21">
        <f>-P6*COS(RADIANS(P10-2.83))*P13/1000</f>
        <v/>
      </c>
      <c r="Q16" s="21">
        <f>-Q6*COS(RADIANS(Q10-2.83))*Q13/1000</f>
        <v/>
      </c>
      <c r="R16" s="21">
        <f>-R6*COS(RADIANS(R10-2.83))*R13/1000</f>
        <v/>
      </c>
      <c r="S16" s="21">
        <f>-S6*COS(RADIANS(S10-2.83))*S13/1000</f>
        <v/>
      </c>
      <c r="T16" s="21">
        <f>-T6*COS(RADIANS(T10-2.83))*T13/1000</f>
        <v/>
      </c>
      <c r="U16" s="21">
        <f>-U6*COS(RADIANS(U10-2.83))*U13/1000</f>
        <v/>
      </c>
      <c r="V16" s="21">
        <f>-V6*COS(RADIANS(V10-2.83))*V13/1000</f>
        <v/>
      </c>
      <c r="W16" s="21">
        <f>-W6*COS(RADIANS(W10-2.83))*W13/1000</f>
        <v/>
      </c>
      <c r="X16" s="21">
        <f>-X6*COS(RADIANS(X10-2.83))*X13/1000</f>
        <v/>
      </c>
    </row>
    <row r="17">
      <c r="B17" s="3" t="inlineStr">
        <is>
          <t>Torque actual</t>
        </is>
      </c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</row>
    <row r="21">
      <c r="B21" s="3" t="inlineStr">
        <is>
          <t>Moment arm</t>
        </is>
      </c>
      <c r="C21" s="3" t="inlineStr">
        <is>
          <t>Torque actual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Bolen</dc:creator>
  <dcterms:created xmlns:dcterms="http://purl.org/dc/terms/" xmlns:xsi="http://www.w3.org/2001/XMLSchema-instance" xsi:type="dcterms:W3CDTF">2021-05-24T00:23:13Z</dcterms:created>
  <dcterms:modified xmlns:dcterms="http://purl.org/dc/terms/" xmlns:xsi="http://www.w3.org/2001/XMLSchema-instance" xsi:type="dcterms:W3CDTF">2026-10-02T11:45:16Z</dcterms:modified>
  <cp:lastModifiedBy>Ben Bolen</cp:lastModifiedBy>
</cp:coreProperties>
</file>