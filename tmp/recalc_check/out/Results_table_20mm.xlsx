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8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6"/>
  </bookViews>
  <sheets>
    <sheet name="ExtTest40mm_1" sheetId="1" state="visible" r:id="rId3"/>
    <sheet name="ExtTest40mm_2" sheetId="2" state="visible" r:id="rId4"/>
    <sheet name="ExtTest20mm_1" sheetId="3" state="visible" r:id="rId5"/>
    <sheet name="FlxTest20mm_42cm" sheetId="4" state="visible" r:id="rId6"/>
    <sheet name="FlxTest20mm_39cm" sheetId="5" state="visible" r:id="rId7"/>
    <sheet name="FlxTest20mm_39cm (2)" sheetId="6" state="visible" r:id="rId8"/>
    <sheet name="FlxTest20mm_42cm (2)" sheetId="7" state="visible" r:id="rId9"/>
    <sheet name="FlxTest20mm_42cm (3)" sheetId="8" state="visible" r:id="rId10"/>
    <sheet name="FlxTest20mm_51cm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ZCode</author>
  </authors>
  <commentList>
    <comment ref="B16" authorId="0">
      <text>
        <r>
          <rPr>
            <sz val="10"/>
            <rFont val="Arial"/>
            <family val="2"/>
          </rPr>
          <t xml:space="preserve">Row 16 'Torque' = planar approximation -Load*cos(LC angle - 2.83 deg)*Tibia origin/1000 (extension (positive) sign convention; update the 2.83 deg offset per rig measurement).
Row 17 'Torque actual' = measured torque via the Adjoint transform, printed by Knee_Extensor_20mm.m (FlxTest20mm_51cm / ExtTest20mm_1 section) for paste here.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-59</xdr:colOff>
                <xdr:row>3</xdr:row>
                <xdr:rowOff>5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ZCode</author>
  </authors>
  <commentList>
    <comment ref="B16" authorId="0">
      <text>
        <r>
          <rPr>
            <sz val="10"/>
            <rFont val="Arial"/>
            <family val="2"/>
          </rPr>
          <t xml:space="preserve">Row 16 'Torque' = planar approximation -Load*cos(LC angle - 2.83 deg)*Tibia origin/1000 (flexion (negative) sign convention; update the 2.83 deg offset per rig measurement).
Row 17 'Torque actual' = measured torque via the Adjoint transform, printed by Knee_Flexor_Data_20mm.m (FlxTest20mm_51cm / ExtTest20mm_1 section) for paste here.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-59</xdr:colOff>
                <xdr:row>3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<sst xmlns="http://schemas.openxmlformats.org/spreadsheetml/2006/main" count="259" uniqueCount="55">
  <si>
    <t xml:space="preserve">Extensor Test 40mm</t>
  </si>
  <si>
    <t xml:space="preserve">Resting muscle length</t>
  </si>
  <si>
    <t xml:space="preserve">expected max contract</t>
  </si>
  <si>
    <t xml:space="preserve">tendon</t>
  </si>
  <si>
    <t xml:space="preserve">*</t>
  </si>
  <si>
    <t xml:space="preserve">**</t>
  </si>
  <si>
    <t xml:space="preserve">Test #</t>
  </si>
  <si>
    <t xml:space="preserve">Load (N)</t>
  </si>
  <si>
    <t xml:space="preserve">Knee angle</t>
  </si>
  <si>
    <t xml:space="preserve">Hand</t>
  </si>
  <si>
    <t xml:space="preserve">Load cell angle (real ICR)</t>
  </si>
  <si>
    <t xml:space="preserve">Load cell angle (tibia)</t>
  </si>
  <si>
    <t xml:space="preserve">muscle length</t>
  </si>
  <si>
    <t xml:space="preserve">% contraction</t>
  </si>
  <si>
    <t xml:space="preserve">MA</t>
  </si>
  <si>
    <t xml:space="preserve">ICR (spline)</t>
  </si>
  <si>
    <t xml:space="preserve">Tibia origin (matlab)</t>
  </si>
  <si>
    <t xml:space="preserve">ICR to muscle</t>
  </si>
  <si>
    <t xml:space="preserve">dl/dtheta</t>
  </si>
  <si>
    <t xml:space="preserve">Torque</t>
  </si>
  <si>
    <t xml:space="preserve">*changed pressure from 100 kPa to 230 kPa</t>
  </si>
  <si>
    <t xml:space="preserve">**Increased pressure to 380 kPa</t>
  </si>
  <si>
    <t xml:space="preserve">Added pulley in system</t>
  </si>
  <si>
    <t xml:space="preserve">Moment arm</t>
  </si>
  <si>
    <t xml:space="preserve">Torque actual</t>
  </si>
  <si>
    <t xml:space="preserve">Vas_Pam insertion wrt arbitrary knee loc</t>
  </si>
  <si>
    <t xml:space="preserve">x</t>
  </si>
  <si>
    <t xml:space="preserve">y</t>
  </si>
  <si>
    <t xml:space="preserve">z</t>
  </si>
  <si>
    <t xml:space="preserve">Pressure (gauge)</t>
  </si>
  <si>
    <t xml:space="preserve">contraction</t>
  </si>
  <si>
    <t xml:space="preserve">Human Vas_int Torque</t>
  </si>
  <si>
    <t xml:space="preserve">*Leg assembly started breaking when load cell was reading 124 N of force</t>
  </si>
  <si>
    <t xml:space="preserve">distal</t>
  </si>
  <si>
    <t xml:space="preserve">proximal</t>
  </si>
  <si>
    <t xml:space="preserve">Extensor Test 20mm</t>
  </si>
  <si>
    <t xml:space="preserve">actual</t>
  </si>
  <si>
    <t xml:space="preserve">tendon length</t>
  </si>
  <si>
    <t xml:space="preserve">Pressure (kPa</t>
  </si>
  <si>
    <t xml:space="preserve">Flexor Test 20mm</t>
  </si>
  <si>
    <t xml:space="preserve">***</t>
  </si>
  <si>
    <t xml:space="preserve">*BPA Started to kink at 7</t>
  </si>
  <si>
    <t xml:space="preserve">**Pressure stepped up from 300kPa to 500kPa on test 11-15</t>
  </si>
  <si>
    <t xml:space="preserve">***Pressure stepped up from 500kPa to 620kPa on test 16</t>
  </si>
  <si>
    <t xml:space="preserve">"@" 620 kPa</t>
  </si>
  <si>
    <t xml:space="preserve">"@" 600 kPa</t>
  </si>
  <si>
    <t xml:space="preserve">*tibia ring broke</t>
  </si>
  <si>
    <t xml:space="preserve">NaN</t>
  </si>
  <si>
    <t xml:space="preserve">*Switched to shorter tibia</t>
  </si>
  <si>
    <t xml:space="preserve">*Switched back to long tibia</t>
  </si>
  <si>
    <t xml:space="preserve">** 22.4N pretension</t>
  </si>
  <si>
    <t xml:space="preserve">**27.6N pretension</t>
  </si>
  <si>
    <t xml:space="preserve">avg pres</t>
  </si>
  <si>
    <t xml:space="preserve">***411mm uninflated</t>
  </si>
  <si>
    <t xml:space="preserve">Max extension possible with current knee and test jig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</si>
</sst>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EBBDD"/>
        <bgColor rgb="FFBFBFBF"/>
      </patternFill>
    </fill>
    <fill>
      <patternFill patternType="solid">
        <fgColor rgb="FFAFCAFF"/>
        <bgColor rgb="FFCEBBDD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CEBB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FCA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40 mm Extensor Torque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"100 kPa"</c:f>
              <c:strCache>
                <c:ptCount val="1"/>
                <c:pt idx="0">
                  <c:v>100 kPa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ExtTest40mm_1!$C$7:$I$7</c:f>
              <c:numCache>
                <c:formatCode>General</c:formatCode>
                <c:ptCount val="7"/>
                <c:pt idx="0">
                  <c:v>-117</c:v>
                </c:pt>
                <c:pt idx="1">
                  <c:v>-106</c:v>
                </c:pt>
                <c:pt idx="2">
                  <c:v>-96</c:v>
                </c:pt>
                <c:pt idx="3">
                  <c:v>-66.5</c:v>
                </c:pt>
                <c:pt idx="4">
                  <c:v>-74.5</c:v>
                </c:pt>
                <c:pt idx="5">
                  <c:v>-85.5</c:v>
                </c:pt>
                <c:pt idx="6">
                  <c:v>-53.5</c:v>
                </c:pt>
              </c:numCache>
            </c:numRef>
          </c:xVal>
          <c:yVal>
            <c:numRef>
              <c:f>ExtTest40mm_1!$C$16:$I$16</c:f>
              <c:numCache>
                <c:formatCode>General</c:formatCode>
                <c:ptCount val="7"/>
                <c:pt idx="0">
                  <c:v>6.85301723640264</c:v>
                </c:pt>
                <c:pt idx="1">
                  <c:v>3.0616448382429</c:v>
                </c:pt>
                <c:pt idx="2">
                  <c:v>1.75674348554326</c:v>
                </c:pt>
                <c:pt idx="3">
                  <c:v>0.428753004278961</c:v>
                </c:pt>
                <c:pt idx="4">
                  <c:v>0.96291824494656</c:v>
                </c:pt>
                <c:pt idx="5">
                  <c:v>1.4332513689041</c:v>
                </c:pt>
                <c:pt idx="6">
                  <c:v>0.353097823693072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"230 kPa"</c:f>
              <c:strCache>
                <c:ptCount val="1"/>
                <c:pt idx="0">
                  <c:v>230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ExtTest40mm_1!$J$7:$N$7</c:f>
              <c:numCache>
                <c:formatCode>General</c:formatCode>
                <c:ptCount val="5"/>
                <c:pt idx="0">
                  <c:v>-53.5</c:v>
                </c:pt>
                <c:pt idx="1">
                  <c:v>-17</c:v>
                </c:pt>
                <c:pt idx="2">
                  <c:v>-17</c:v>
                </c:pt>
                <c:pt idx="3">
                  <c:v>-42.5</c:v>
                </c:pt>
                <c:pt idx="4">
                  <c:v>-30</c:v>
                </c:pt>
              </c:numCache>
            </c:numRef>
          </c:xVal>
          <c:yVal>
            <c:numRef>
              <c:f>ExtTest40mm_1!$J$16:$N$16</c:f>
              <c:numCache>
                <c:formatCode>General</c:formatCode>
                <c:ptCount val="5"/>
                <c:pt idx="0">
                  <c:v>6.22529896193993</c:v>
                </c:pt>
                <c:pt idx="1">
                  <c:v>1.05410465584153</c:v>
                </c:pt>
                <c:pt idx="2">
                  <c:v>1.23536811606708</c:v>
                </c:pt>
                <c:pt idx="3">
                  <c:v>6.04204293111283</c:v>
                </c:pt>
                <c:pt idx="4">
                  <c:v>3.23433740060947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"380 kPa"</c:f>
              <c:strCache>
                <c:ptCount val="1"/>
                <c:pt idx="0">
                  <c:v>380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ExtTest40mm_1!$O$7:$P$7</c:f>
              <c:numCache>
                <c:formatCode>General</c:formatCode>
                <c:ptCount val="2"/>
                <c:pt idx="0">
                  <c:v>-6</c:v>
                </c:pt>
                <c:pt idx="1">
                  <c:v>6.5</c:v>
                </c:pt>
              </c:numCache>
            </c:numRef>
          </c:xVal>
          <c:yVal>
            <c:numRef>
              <c:f>ExtTest40mm_1!$O$16:$P$16</c:f>
              <c:numCache>
                <c:formatCode>General</c:formatCode>
                <c:ptCount val="2"/>
                <c:pt idx="0">
                  <c:v>10.3605191537384</c:v>
                </c:pt>
                <c:pt idx="1">
                  <c:v>6.08094980551037</c:v>
                </c:pt>
              </c:numCache>
            </c:numRef>
          </c:yVal>
          <c:smooth val="0"/>
        </c:ser>
        <c:axId val="88221684"/>
        <c:axId val="48641676"/>
      </c:scatterChart>
      <c:valAx>
        <c:axId val="88221684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8641676"/>
        <c:crosses val="autoZero"/>
        <c:crossBetween val="midCat"/>
      </c:valAx>
      <c:valAx>
        <c:axId val="4864167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8221684"/>
        <c:crosses val="autoZero"/>
        <c:crossBetween val="midCat"/>
      </c:valAx>
      <c:spPr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 mm Extensor Torque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ln w="1260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ExtTest20mm_1!$C$7:$X$7</c:f>
              <c:numCache>
                <c:formatCode>General</c:formatCode>
                <c:ptCount val="22"/>
              </c:numCache>
            </c:numRef>
          </c:xVal>
          <c:yVal>
            <c:numRef>
              <c:f>ExtTest20mm_1!$C$16:$X$16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</c:ser>
        <c:axId val="91018570"/>
        <c:axId val="1393142"/>
      </c:scatterChart>
      <c:valAx>
        <c:axId val="91018570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93142"/>
        <c:crosses val="autoZero"/>
        <c:crossBetween val="midCat"/>
      </c:valAx>
      <c:valAx>
        <c:axId val="139314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018570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20 mm Flexor Torque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"500 kPA"</c:f>
              <c:strCache>
                <c:ptCount val="1"/>
                <c:pt idx="0">
                  <c:v>500 kPA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2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FlxTest20mm_42cm!$M$7:$Q$7</c:f>
              <c:numCache>
                <c:formatCode>General</c:formatCode>
                <c:ptCount val="5"/>
                <c:pt idx="0">
                  <c:v>-73.5</c:v>
                </c:pt>
                <c:pt idx="1">
                  <c:v>-82</c:v>
                </c:pt>
                <c:pt idx="2">
                  <c:v>-88</c:v>
                </c:pt>
                <c:pt idx="3">
                  <c:v>-103.5</c:v>
                </c:pt>
                <c:pt idx="4">
                  <c:v>-114</c:v>
                </c:pt>
              </c:numCache>
            </c:numRef>
          </c:xVal>
          <c:yVal>
            <c:numRef>
              <c:f>FlxTest20mm_42cm!$M$16:$Q$16</c:f>
              <c:numCache>
                <c:formatCode>General</c:formatCode>
                <c:ptCount val="5"/>
                <c:pt idx="0">
                  <c:v>-5.68069777081493</c:v>
                </c:pt>
                <c:pt idx="1">
                  <c:v>-4.03925983527539</c:v>
                </c:pt>
                <c:pt idx="2">
                  <c:v>-3.25137833996944</c:v>
                </c:pt>
                <c:pt idx="3">
                  <c:v>-1.32635790172592</c:v>
                </c:pt>
                <c:pt idx="4">
                  <c:v>-0.705989473206212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"300 kPa"</c:f>
              <c:strCache>
                <c:ptCount val="1"/>
                <c:pt idx="0">
                  <c:v>300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1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FlxTest20mm_42cm!$C$7:$L$7</c:f>
              <c:numCache>
                <c:formatCode>General</c:formatCode>
                <c:ptCount val="10"/>
                <c:pt idx="0">
                  <c:v>-2</c:v>
                </c:pt>
                <c:pt idx="1">
                  <c:v>-11.5</c:v>
                </c:pt>
                <c:pt idx="2">
                  <c:v>-20</c:v>
                </c:pt>
                <c:pt idx="3">
                  <c:v>-27</c:v>
                </c:pt>
                <c:pt idx="4">
                  <c:v>-35</c:v>
                </c:pt>
                <c:pt idx="5">
                  <c:v>-44</c:v>
                </c:pt>
                <c:pt idx="6">
                  <c:v>-54.5</c:v>
                </c:pt>
                <c:pt idx="7">
                  <c:v>-50</c:v>
                </c:pt>
                <c:pt idx="8">
                  <c:v>-63</c:v>
                </c:pt>
                <c:pt idx="9">
                  <c:v>-64</c:v>
                </c:pt>
              </c:numCache>
            </c:numRef>
          </c:xVal>
          <c:yVal>
            <c:numRef>
              <c:f>FlxTest20mm_42cm!$C$16:$L$16</c:f>
              <c:numCache>
                <c:formatCode>General</c:formatCode>
                <c:ptCount val="10"/>
                <c:pt idx="0">
                  <c:v>-9.95207522928387</c:v>
                </c:pt>
                <c:pt idx="1">
                  <c:v>-8.30977619039763</c:v>
                </c:pt>
                <c:pt idx="2">
                  <c:v>-6.93720854057483</c:v>
                </c:pt>
                <c:pt idx="3">
                  <c:v>-5.83121108031111</c:v>
                </c:pt>
                <c:pt idx="4">
                  <c:v>-4.65281690825859</c:v>
                </c:pt>
                <c:pt idx="5">
                  <c:v>-3.59431747162643</c:v>
                </c:pt>
                <c:pt idx="6">
                  <c:v>-3.57545445251131</c:v>
                </c:pt>
                <c:pt idx="7">
                  <c:v>-3.02655147671413</c:v>
                </c:pt>
                <c:pt idx="8">
                  <c:v>-2.19976772857905</c:v>
                </c:pt>
                <c:pt idx="9">
                  <c:v>-0.922103338983219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"620 kPa"</c:f>
              <c:strCache>
                <c:ptCount val="1"/>
                <c:pt idx="0">
                  <c:v>620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3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FlxTest20mm_42cm!$R$7:$S$7</c:f>
              <c:numCache>
                <c:formatCode>General</c:formatCode>
                <c:ptCount val="2"/>
                <c:pt idx="0">
                  <c:v>-115</c:v>
                </c:pt>
                <c:pt idx="1">
                  <c:v>-120</c:v>
                </c:pt>
              </c:numCache>
            </c:numRef>
          </c:xVal>
          <c:yVal>
            <c:numRef>
              <c:f>FlxTest20mm_42cm!$R$16:$S$16</c:f>
              <c:numCache>
                <c:formatCode>General</c:formatCode>
                <c:ptCount val="2"/>
                <c:pt idx="0">
                  <c:v>-1.8262081615387</c:v>
                </c:pt>
                <c:pt idx="1">
                  <c:v>-1.09371531298861</c:v>
                </c:pt>
              </c:numCache>
            </c:numRef>
          </c:yVal>
          <c:smooth val="0"/>
        </c:ser>
        <c:axId val="1509471"/>
        <c:axId val="10365010"/>
      </c:scatterChart>
      <c:valAx>
        <c:axId val="1509471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0365010"/>
        <c:crosses val="autoZero"/>
        <c:crossBetween val="midCat"/>
      </c:valAx>
      <c:valAx>
        <c:axId val="1036501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509471"/>
        <c:crosses val="autoZero"/>
        <c:crossBetween val="midCat"/>
      </c:valAx>
      <c:spPr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20 mm Flexor Torque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"500 kPA"</c:f>
              <c:strCache>
                <c:ptCount val="1"/>
                <c:pt idx="0">
                  <c:v>500 kPA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2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FlxTest20mm_39cm!$M$7:$Q$7</c:f>
              <c:numCache>
                <c:formatCode>General</c:formatCode>
                <c:ptCount val="5"/>
              </c:numCache>
            </c:numRef>
          </c:xVal>
          <c:yVal>
            <c:numRef>
              <c:f>FlxTest20mm_39cm!$M$16:$Q$16</c:f>
              <c:numCache>
                <c:formatCode>General</c:formatCode>
                <c:ptCount val="5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"300 kPa"</c:f>
              <c:strCache>
                <c:ptCount val="1"/>
                <c:pt idx="0">
                  <c:v>300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1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xVal>
            <c:numRef>
              <c:f>FlxTest20mm_39cm!$C$7:$L$7</c:f>
              <c:numCache>
                <c:formatCode>General</c:formatCode>
                <c:ptCount val="10"/>
                <c:pt idx="0">
                  <c:v>-124</c:v>
                </c:pt>
                <c:pt idx="1">
                  <c:v>-98.5</c:v>
                </c:pt>
                <c:pt idx="2">
                  <c:v>-118.5</c:v>
                </c:pt>
                <c:pt idx="3">
                  <c:v>-111</c:v>
                </c:pt>
                <c:pt idx="4">
                  <c:v>-90</c:v>
                </c:pt>
                <c:pt idx="5">
                  <c:v>-75</c:v>
                </c:pt>
                <c:pt idx="6">
                  <c:v>-64</c:v>
                </c:pt>
              </c:numCache>
            </c:numRef>
          </c:xVal>
          <c:yVal>
            <c:numRef>
              <c:f>FlxTest20mm_39cm!$C$16:$L$16</c:f>
              <c:numCache>
                <c:formatCode>General</c:formatCode>
                <c:ptCount val="10"/>
                <c:pt idx="0">
                  <c:v>-5.65418333713887</c:v>
                </c:pt>
                <c:pt idx="1">
                  <c:v>-11.4160823193169</c:v>
                </c:pt>
                <c:pt idx="2">
                  <c:v>-5.70804115965846</c:v>
                </c:pt>
                <c:pt idx="3">
                  <c:v>-10.2181478148918</c:v>
                </c:pt>
                <c:pt idx="4">
                  <c:v>-13.9377679354735</c:v>
                </c:pt>
                <c:pt idx="5">
                  <c:v>-17.2981165133584</c:v>
                </c:pt>
                <c:pt idx="6">
                  <c:v>-20.3984959065943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"620 kPa"</c:f>
              <c:strCache>
                <c:ptCount val="1"/>
                <c:pt idx="0">
                  <c:v>620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3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FlxTest20mm_39cm!$R$7:$S$7</c:f>
              <c:numCache>
                <c:formatCode>General</c:formatCode>
                <c:ptCount val="2"/>
              </c:numCache>
            </c:numRef>
          </c:xVal>
          <c:yVal>
            <c:numRef>
              <c:f>FlxTest20mm_39cm!$R$16:$S$16</c:f>
              <c:numCache>
                <c:formatCode>General</c:formatCode>
                <c:ptCount val="2"/>
                <c:pt idx="0">
                  <c:v>-0</c:v>
                </c:pt>
                <c:pt idx="1">
                  <c:v>-0</c:v>
                </c:pt>
              </c:numCache>
            </c:numRef>
          </c:yVal>
          <c:smooth val="0"/>
        </c:ser>
        <c:axId val="33116416"/>
        <c:axId val="67279587"/>
      </c:scatterChart>
      <c:valAx>
        <c:axId val="33116416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67279587"/>
        <c:crosses val="autoZero"/>
        <c:crossBetween val="midCat"/>
      </c:valAx>
      <c:valAx>
        <c:axId val="6727958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3116416"/>
        <c:crosses val="autoZero"/>
        <c:crossBetween val="midCat"/>
      </c:valAx>
      <c:spPr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20 mm Flexor Torque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"500 kPA"</c:f>
              <c:strCache>
                <c:ptCount val="1"/>
                <c:pt idx="0">
                  <c:v>500 kPA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2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'FlxTest20mm_39cm (2)'!$M$7:$Q$7</c:f>
              <c:numCache>
                <c:formatCode>General</c:formatCode>
                <c:ptCount val="5"/>
              </c:numCache>
            </c:numRef>
          </c:xVal>
          <c:yVal>
            <c:numRef>
              <c:f>'FlxTest20mm_39cm (2)'!$M$16:$Q$16</c:f>
              <c:numCache>
                <c:formatCode>General</c:formatCode>
                <c:ptCount val="5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"300 kPa"</c:f>
              <c:strCache>
                <c:ptCount val="1"/>
                <c:pt idx="0">
                  <c:v>300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1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xVal>
            <c:numRef>
              <c:f>'FlxTest20mm_39cm (2)'!$C$7:$L$7</c:f>
              <c:numCache>
                <c:formatCode>General</c:formatCode>
                <c:ptCount val="10"/>
                <c:pt idx="0">
                  <c:v>-125</c:v>
                </c:pt>
                <c:pt idx="1">
                  <c:v>-112</c:v>
                </c:pt>
                <c:pt idx="2">
                  <c:v>-91.5</c:v>
                </c:pt>
                <c:pt idx="3">
                  <c:v>-75</c:v>
                </c:pt>
              </c:numCache>
            </c:numRef>
          </c:xVal>
          <c:yVal>
            <c:numRef>
              <c:f>'FlxTest20mm_39cm (2)'!$C$16:$L$16</c:f>
              <c:numCache>
                <c:formatCode>General</c:formatCode>
                <c:ptCount val="10"/>
                <c:pt idx="0">
                  <c:v>-3.20743621779953</c:v>
                </c:pt>
                <c:pt idx="1">
                  <c:v>-8.78274885379969</c:v>
                </c:pt>
                <c:pt idx="2">
                  <c:v>-11.4899019096699</c:v>
                </c:pt>
                <c:pt idx="3">
                  <c:v>-16.172026211621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"620 kPa"</c:f>
              <c:strCache>
                <c:ptCount val="1"/>
                <c:pt idx="0">
                  <c:v>620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3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'FlxTest20mm_39cm (2)'!$R$7:$S$7</c:f>
              <c:numCache>
                <c:formatCode>General</c:formatCode>
                <c:ptCount val="2"/>
              </c:numCache>
            </c:numRef>
          </c:xVal>
          <c:yVal>
            <c:numRef>
              <c:f>'FlxTest20mm_39cm (2)'!$R$16:$S$16</c:f>
              <c:numCache>
                <c:formatCode>General</c:formatCode>
                <c:ptCount val="2"/>
                <c:pt idx="0">
                  <c:v>-0</c:v>
                </c:pt>
                <c:pt idx="1">
                  <c:v>-0</c:v>
                </c:pt>
              </c:numCache>
            </c:numRef>
          </c:yVal>
          <c:smooth val="0"/>
        </c:ser>
        <c:axId val="72352158"/>
        <c:axId val="139855"/>
      </c:scatterChart>
      <c:valAx>
        <c:axId val="72352158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39855"/>
        <c:crosses val="autoZero"/>
        <c:crossBetween val="midCat"/>
      </c:valAx>
      <c:valAx>
        <c:axId val="13985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2352158"/>
        <c:crosses val="autoZero"/>
        <c:crossBetween val="midCat"/>
      </c:valAx>
      <c:spPr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20 mm Flexor Torque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"500 kPA"</c:f>
              <c:strCache>
                <c:ptCount val="1"/>
                <c:pt idx="0">
                  <c:v>500 kPA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2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'FlxTest20mm_42cm (2)'!$M$7:$Q$7</c:f>
              <c:numCache>
                <c:formatCode>General</c:formatCode>
                <c:ptCount val="5"/>
              </c:numCache>
            </c:numRef>
          </c:xVal>
          <c:yVal>
            <c:numRef>
              <c:f>'FlxTest20mm_42cm (2)'!$M$16:$Q$16</c:f>
              <c:numCache>
                <c:formatCode>General</c:formatCode>
                <c:ptCount val="5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"300 kPa"</c:f>
              <c:strCache>
                <c:ptCount val="1"/>
                <c:pt idx="0">
                  <c:v>300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1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xVal>
            <c:numRef>
              <c:f>'FlxTest20mm_42cm (2)'!$C$7:$L$7</c:f>
              <c:numCache>
                <c:formatCode>General</c:formatCode>
                <c:ptCount val="10"/>
                <c:pt idx="0">
                  <c:v>-125</c:v>
                </c:pt>
                <c:pt idx="1">
                  <c:v>-112</c:v>
                </c:pt>
                <c:pt idx="2">
                  <c:v>-93</c:v>
                </c:pt>
                <c:pt idx="3">
                  <c:v>-80</c:v>
                </c:pt>
                <c:pt idx="4">
                  <c:v>-75</c:v>
                </c:pt>
                <c:pt idx="5">
                  <c:v>-52</c:v>
                </c:pt>
                <c:pt idx="6">
                  <c:v>-42</c:v>
                </c:pt>
                <c:pt idx="7">
                  <c:v>-32</c:v>
                </c:pt>
              </c:numCache>
            </c:numRef>
          </c:xVal>
          <c:yVal>
            <c:numRef>
              <c:f>'FlxTest20mm_42cm (2)'!$C$16:$L$16</c:f>
              <c:numCache>
                <c:formatCode>General</c:formatCode>
                <c:ptCount val="10"/>
                <c:pt idx="0">
                  <c:v>-1.57020567776687</c:v>
                </c:pt>
                <c:pt idx="1">
                  <c:v>-6.03053671475247</c:v>
                </c:pt>
                <c:pt idx="2">
                  <c:v>-10.0494156934453</c:v>
                </c:pt>
                <c:pt idx="3">
                  <c:v>-14.4621043792055</c:v>
                </c:pt>
                <c:pt idx="4">
                  <c:v>-18.5462085202454</c:v>
                </c:pt>
                <c:pt idx="5">
                  <c:v>-22.5199237860806</c:v>
                </c:pt>
                <c:pt idx="6">
                  <c:v>-25.525501816572</c:v>
                </c:pt>
                <c:pt idx="7">
                  <c:v>-26.9994754957457</c:v>
                </c:pt>
                <c:pt idx="8">
                  <c:v>-0</c:v>
                </c:pt>
                <c:pt idx="9">
                  <c:v>-0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"620 kPa"</c:f>
              <c:strCache>
                <c:ptCount val="1"/>
                <c:pt idx="0">
                  <c:v>620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3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'FlxTest20mm_42cm (2)'!$R$7:$S$7</c:f>
              <c:numCache>
                <c:formatCode>General</c:formatCode>
                <c:ptCount val="2"/>
              </c:numCache>
            </c:numRef>
          </c:xVal>
          <c:yVal>
            <c:numRef>
              <c:f>'FlxTest20mm_42cm (2)'!$R$16:$S$16</c:f>
              <c:numCache>
                <c:formatCode>General</c:formatCode>
                <c:ptCount val="2"/>
                <c:pt idx="0">
                  <c:v>-0</c:v>
                </c:pt>
                <c:pt idx="1">
                  <c:v>-0</c:v>
                </c:pt>
              </c:numCache>
            </c:numRef>
          </c:yVal>
          <c:smooth val="0"/>
        </c:ser>
        <c:axId val="43140807"/>
        <c:axId val="67169002"/>
      </c:scatterChart>
      <c:valAx>
        <c:axId val="43140807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67169002"/>
        <c:crosses val="autoZero"/>
        <c:crossBetween val="midCat"/>
      </c:valAx>
      <c:valAx>
        <c:axId val="6716900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3140807"/>
        <c:crosses val="autoZero"/>
        <c:crossBetween val="midCat"/>
      </c:valAx>
      <c:spPr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20 mm Flexor Torque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'FlxTest20mm_42cm (3)'!$N$7:$AD$7</c:f>
              <c:numCache>
                <c:formatCode>General</c:formatCode>
                <c:ptCount val="17"/>
                <c:pt idx="0">
                  <c:v>-26.01</c:v>
                </c:pt>
                <c:pt idx="1">
                  <c:v>-26.001</c:v>
                </c:pt>
                <c:pt idx="2">
                  <c:v>-18.5</c:v>
                </c:pt>
                <c:pt idx="3">
                  <c:v>-18</c:v>
                </c:pt>
                <c:pt idx="4">
                  <c:v>-7</c:v>
                </c:pt>
                <c:pt idx="5">
                  <c:v>-9</c:v>
                </c:pt>
                <c:pt idx="6">
                  <c:v>0</c:v>
                </c:pt>
                <c:pt idx="7">
                  <c:v>3</c:v>
                </c:pt>
                <c:pt idx="8">
                  <c:v>7.7</c:v>
                </c:pt>
                <c:pt idx="9">
                  <c:v>-6.5</c:v>
                </c:pt>
                <c:pt idx="10">
                  <c:v>-32</c:v>
                </c:pt>
              </c:numCache>
            </c:numRef>
          </c:xVal>
          <c:yVal>
            <c:numRef>
              <c:f>'FlxTest20mm_42cm (3)'!$N$16:$AD$16</c:f>
              <c:numCache>
                <c:formatCode>General</c:formatCode>
                <c:ptCount val="17"/>
                <c:pt idx="0">
                  <c:v>-19.2274542543391</c:v>
                </c:pt>
                <c:pt idx="1">
                  <c:v>-22.8708103297126</c:v>
                </c:pt>
                <c:pt idx="2">
                  <c:v>-15.3037550974019</c:v>
                </c:pt>
                <c:pt idx="3">
                  <c:v>-23.61492877643</c:v>
                </c:pt>
                <c:pt idx="4">
                  <c:v>-16.9643300628193</c:v>
                </c:pt>
                <c:pt idx="5">
                  <c:v>-20.5125563487699</c:v>
                </c:pt>
                <c:pt idx="6">
                  <c:v>-22.5246696215892</c:v>
                </c:pt>
                <c:pt idx="7">
                  <c:v>-22.4454222421648</c:v>
                </c:pt>
                <c:pt idx="8">
                  <c:v>-24.683174896032</c:v>
                </c:pt>
                <c:pt idx="9">
                  <c:v>-31.3057654336849</c:v>
                </c:pt>
                <c:pt idx="10">
                  <c:v>-24.076391978102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</c:numCache>
            </c:numRef>
          </c:yVal>
          <c:smooth val="0"/>
        </c:ser>
        <c:ser>
          <c:idx val="1"/>
          <c:order val="1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1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xVal>
            <c:numRef>
              <c:f>'FlxTest20mm_42cm (3)'!$C$7:$M$7</c:f>
              <c:numCache>
                <c:formatCode>General</c:formatCode>
                <c:ptCount val="11"/>
                <c:pt idx="0">
                  <c:v>-125</c:v>
                </c:pt>
                <c:pt idx="1">
                  <c:v>-114</c:v>
                </c:pt>
                <c:pt idx="2">
                  <c:v>-98</c:v>
                </c:pt>
                <c:pt idx="3">
                  <c:v>-83</c:v>
                </c:pt>
                <c:pt idx="4">
                  <c:v>-75.5</c:v>
                </c:pt>
                <c:pt idx="5">
                  <c:v>-69</c:v>
                </c:pt>
                <c:pt idx="6">
                  <c:v>-55.5</c:v>
                </c:pt>
                <c:pt idx="7">
                  <c:v>-53.001</c:v>
                </c:pt>
                <c:pt idx="8">
                  <c:v>-53.01</c:v>
                </c:pt>
                <c:pt idx="9">
                  <c:v>-41</c:v>
                </c:pt>
                <c:pt idx="10">
                  <c:v>-30</c:v>
                </c:pt>
              </c:numCache>
            </c:numRef>
          </c:xVal>
          <c:yVal>
            <c:numRef>
              <c:f>'FlxTest20mm_42cm (3)'!$C$16:$M$16</c:f>
              <c:numCache>
                <c:formatCode>General</c:formatCode>
                <c:ptCount val="11"/>
                <c:pt idx="0">
                  <c:v>-5.62606803948163</c:v>
                </c:pt>
                <c:pt idx="1">
                  <c:v>-5.6203991726163</c:v>
                </c:pt>
                <c:pt idx="2">
                  <c:v>-10.1365584985262</c:v>
                </c:pt>
                <c:pt idx="3">
                  <c:v>-13.1828971632755</c:v>
                </c:pt>
                <c:pt idx="4">
                  <c:v>-14.4417267099468</c:v>
                </c:pt>
                <c:pt idx="5">
                  <c:v>-17.2525936997532</c:v>
                </c:pt>
                <c:pt idx="6">
                  <c:v>-20.8833781863412</c:v>
                </c:pt>
                <c:pt idx="7">
                  <c:v>-22.6507412457938</c:v>
                </c:pt>
                <c:pt idx="8">
                  <c:v>-23.1654873086584</c:v>
                </c:pt>
                <c:pt idx="9">
                  <c:v>-28.6683385461178</c:v>
                </c:pt>
                <c:pt idx="10">
                  <c:v>-31.9964559258105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"620 kPa"</c:f>
              <c:strCache>
                <c:ptCount val="1"/>
                <c:pt idx="0">
                  <c:v>620 kPa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3"/>
                </a:solidFill>
                <a:prstDash val="sysDot"/>
                <a:round/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xVal>
            <c:numRef>
              <c:f>'FlxTest20mm_42cm (3)'!$R$7:$S$7</c:f>
              <c:numCache>
                <c:formatCode>General</c:formatCode>
                <c:ptCount val="2"/>
                <c:pt idx="0">
                  <c:v>-7</c:v>
                </c:pt>
                <c:pt idx="1">
                  <c:v>-9</c:v>
                </c:pt>
              </c:numCache>
            </c:numRef>
          </c:xVal>
          <c:yVal>
            <c:numRef>
              <c:f>'FlxTest20mm_42cm (3)'!$R$16:$S$16</c:f>
              <c:numCache>
                <c:formatCode>General</c:formatCode>
                <c:ptCount val="2"/>
                <c:pt idx="0">
                  <c:v>-16.9643300628193</c:v>
                </c:pt>
                <c:pt idx="1">
                  <c:v>-20.5125563487699</c:v>
                </c:pt>
              </c:numCache>
            </c:numRef>
          </c:yVal>
          <c:smooth val="0"/>
        </c:ser>
        <c:axId val="58424492"/>
        <c:axId val="36223187"/>
      </c:scatterChart>
      <c:valAx>
        <c:axId val="58424492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6223187"/>
        <c:crosses val="autoZero"/>
        <c:crossBetween val="midCat"/>
      </c:valAx>
      <c:valAx>
        <c:axId val="3622318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8424492"/>
        <c:crosses val="autoZero"/>
        <c:crossBetween val="midCat"/>
      </c:valAx>
      <c:spPr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 mm Flexor Torque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ln w="1260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FlxTest20mm_51cm!$C$7:$X$7</c:f>
              <c:numCache>
                <c:formatCode>General</c:formatCode>
                <c:ptCount val="22"/>
              </c:numCache>
            </c:numRef>
          </c:xVal>
          <c:yVal>
            <c:numRef>
              <c:f>FlxTest20mm_51cm!$C$16:$X$16</c:f>
              <c:numCache>
                <c:formatCode>General</c:formatCode>
                <c:ptCount val="22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</c:numCache>
            </c:numRef>
          </c:yVal>
          <c:smooth val="0"/>
        </c:ser>
        <c:axId val="21560686"/>
        <c:axId val="21404667"/>
      </c:scatterChart>
      <c:valAx>
        <c:axId val="21560686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404667"/>
        <c:crosses val="autoZero"/>
        <c:crossBetween val="midCat"/>
      </c:valAx>
      <c:valAx>
        <c:axId val="2140466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560686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285840</xdr:colOff>
      <xdr:row>23</xdr:row>
      <xdr:rowOff>17280</xdr:rowOff>
    </xdr:from>
    <xdr:to>
      <xdr:col>9</xdr:col>
      <xdr:colOff>874080</xdr:colOff>
      <xdr:row>37</xdr:row>
      <xdr:rowOff>85680</xdr:rowOff>
    </xdr:to>
    <xdr:graphicFrame>
      <xdr:nvGraphicFramePr>
        <xdr:cNvPr id="1" name="Chart 1"/>
        <xdr:cNvGraphicFramePr/>
      </xdr:nvGraphicFramePr>
      <xdr:xfrm>
        <a:off x="4168800" y="4179600"/>
        <a:ext cx="4832640" cy="260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22</xdr:row>
      <xdr:rowOff>0</xdr:rowOff>
    </xdr:from>
    <xdr:to>
      <xdr:col>15</xdr:col>
      <xdr:colOff>601920</xdr:colOff>
      <xdr:row>36</xdr:row>
      <xdr:rowOff>190080</xdr:rowOff>
    </xdr:to>
    <xdr:graphicFrame>
      <xdr:nvGraphicFramePr>
        <xdr:cNvPr id="2" name="Chart 1"/>
        <xdr:cNvGraphicFramePr/>
      </xdr:nvGraphicFramePr>
      <xdr:xfrm>
        <a:off x="7781760" y="4191120"/>
        <a:ext cx="45986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112320</xdr:colOff>
      <xdr:row>19</xdr:row>
      <xdr:rowOff>136080</xdr:rowOff>
    </xdr:from>
    <xdr:to>
      <xdr:col>10</xdr:col>
      <xdr:colOff>315720</xdr:colOff>
      <xdr:row>34</xdr:row>
      <xdr:rowOff>29160</xdr:rowOff>
    </xdr:to>
    <xdr:graphicFrame>
      <xdr:nvGraphicFramePr>
        <xdr:cNvPr id="3" name="Chart 1"/>
        <xdr:cNvGraphicFramePr/>
      </xdr:nvGraphicFramePr>
      <xdr:xfrm>
        <a:off x="4606200" y="3574440"/>
        <a:ext cx="4823640" cy="260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112320</xdr:colOff>
      <xdr:row>19</xdr:row>
      <xdr:rowOff>136080</xdr:rowOff>
    </xdr:from>
    <xdr:to>
      <xdr:col>10</xdr:col>
      <xdr:colOff>315720</xdr:colOff>
      <xdr:row>34</xdr:row>
      <xdr:rowOff>29160</xdr:rowOff>
    </xdr:to>
    <xdr:graphicFrame>
      <xdr:nvGraphicFramePr>
        <xdr:cNvPr id="4" name="Chart 1"/>
        <xdr:cNvGraphicFramePr/>
      </xdr:nvGraphicFramePr>
      <xdr:xfrm>
        <a:off x="4606200" y="3574440"/>
        <a:ext cx="4823640" cy="260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112320</xdr:colOff>
      <xdr:row>19</xdr:row>
      <xdr:rowOff>136080</xdr:rowOff>
    </xdr:from>
    <xdr:to>
      <xdr:col>10</xdr:col>
      <xdr:colOff>315720</xdr:colOff>
      <xdr:row>34</xdr:row>
      <xdr:rowOff>29160</xdr:rowOff>
    </xdr:to>
    <xdr:graphicFrame>
      <xdr:nvGraphicFramePr>
        <xdr:cNvPr id="5" name="Chart 1"/>
        <xdr:cNvGraphicFramePr/>
      </xdr:nvGraphicFramePr>
      <xdr:xfrm>
        <a:off x="4606200" y="3574440"/>
        <a:ext cx="4823640" cy="260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112320</xdr:colOff>
      <xdr:row>19</xdr:row>
      <xdr:rowOff>136080</xdr:rowOff>
    </xdr:from>
    <xdr:to>
      <xdr:col>10</xdr:col>
      <xdr:colOff>315720</xdr:colOff>
      <xdr:row>34</xdr:row>
      <xdr:rowOff>29160</xdr:rowOff>
    </xdr:to>
    <xdr:graphicFrame>
      <xdr:nvGraphicFramePr>
        <xdr:cNvPr id="6" name="Chart 1"/>
        <xdr:cNvGraphicFramePr/>
      </xdr:nvGraphicFramePr>
      <xdr:xfrm>
        <a:off x="4606200" y="3574440"/>
        <a:ext cx="4823640" cy="260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541080</xdr:colOff>
      <xdr:row>22</xdr:row>
      <xdr:rowOff>136080</xdr:rowOff>
    </xdr:from>
    <xdr:to>
      <xdr:col>16</xdr:col>
      <xdr:colOff>515880</xdr:colOff>
      <xdr:row>37</xdr:row>
      <xdr:rowOff>29160</xdr:rowOff>
    </xdr:to>
    <xdr:graphicFrame>
      <xdr:nvGraphicFramePr>
        <xdr:cNvPr id="7" name="Chart 1"/>
        <xdr:cNvGraphicFramePr/>
      </xdr:nvGraphicFramePr>
      <xdr:xfrm>
        <a:off x="8668440" y="4165200"/>
        <a:ext cx="4573440" cy="260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22</xdr:row>
      <xdr:rowOff>0</xdr:rowOff>
    </xdr:from>
    <xdr:to>
      <xdr:col>15</xdr:col>
      <xdr:colOff>601920</xdr:colOff>
      <xdr:row>36</xdr:row>
      <xdr:rowOff>190080</xdr:rowOff>
    </xdr:to>
    <xdr:graphicFrame>
      <xdr:nvGraphicFramePr>
        <xdr:cNvPr id="8" name="Chart 1"/>
        <xdr:cNvGraphicFramePr/>
      </xdr:nvGraphicFramePr>
      <xdr:xfrm>
        <a:off x="7781760" y="4191120"/>
        <a:ext cx="459864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16" activeCellId="0" sqref="D1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9" min="8" style="0" width="13.44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C2" s="0" t="n">
        <v>557</v>
      </c>
    </row>
    <row r="3" customFormat="false" ht="14.25" hidden="false" customHeight="false" outlineLevel="0" collapsed="false">
      <c r="B3" s="1" t="s">
        <v>2</v>
      </c>
      <c r="C3" s="0" t="n">
        <f aca="false">C2-C2*0.17</f>
        <v>462.31</v>
      </c>
      <c r="D3" s="0" t="n">
        <f aca="false">C2*0.75</f>
        <v>417.75</v>
      </c>
      <c r="I3" s="0" t="n">
        <f aca="false">1-I10/C2</f>
        <v>0.0556552962298025</v>
      </c>
      <c r="N3" s="0" t="n">
        <f aca="false">1-N10/C2</f>
        <v>0.179533213644524</v>
      </c>
    </row>
    <row r="4" customFormat="false" ht="14.25" hidden="false" customHeight="false" outlineLevel="0" collapsed="false">
      <c r="B4" s="1" t="s">
        <v>3</v>
      </c>
      <c r="C4" s="0" t="n">
        <v>30</v>
      </c>
      <c r="J4" s="0" t="s">
        <v>4</v>
      </c>
      <c r="O4" s="0" t="s">
        <v>5</v>
      </c>
    </row>
    <row r="5" s="2" customFormat="true" ht="14.25" hidden="false" customHeight="false" outlineLevel="0" collapsed="false">
      <c r="B5" s="3" t="s">
        <v>6</v>
      </c>
      <c r="C5" s="2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>
        <v>6</v>
      </c>
      <c r="I5" s="2" t="n">
        <v>7</v>
      </c>
      <c r="J5" s="2" t="n">
        <v>8</v>
      </c>
      <c r="K5" s="2" t="n">
        <v>9</v>
      </c>
      <c r="L5" s="2" t="n">
        <v>10</v>
      </c>
      <c r="M5" s="2" t="n">
        <v>11</v>
      </c>
      <c r="N5" s="2" t="n">
        <v>12</v>
      </c>
      <c r="O5" s="2" t="n">
        <v>13</v>
      </c>
      <c r="P5" s="2" t="n">
        <v>14</v>
      </c>
      <c r="Q5" s="2" t="n">
        <v>15</v>
      </c>
    </row>
    <row r="6" customFormat="false" ht="14.25" hidden="false" customHeight="false" outlineLevel="0" collapsed="false">
      <c r="B6" s="4" t="s">
        <v>7</v>
      </c>
      <c r="C6" s="0" t="n">
        <v>21.395</v>
      </c>
      <c r="D6" s="0" t="n">
        <v>9.8043</v>
      </c>
      <c r="E6" s="0" t="n">
        <v>5.4329</v>
      </c>
      <c r="F6" s="0" t="n">
        <v>1.5627</v>
      </c>
      <c r="G6" s="0" t="n">
        <v>3.1173</v>
      </c>
      <c r="H6" s="0" t="n">
        <v>4.5189</v>
      </c>
      <c r="I6" s="0" t="n">
        <v>1.1431</v>
      </c>
      <c r="J6" s="0" t="n">
        <v>20.043</v>
      </c>
      <c r="K6" s="0" t="n">
        <v>3.3938</v>
      </c>
      <c r="L6" s="0" t="n">
        <v>4.079</v>
      </c>
      <c r="M6" s="0" t="n">
        <v>20.853</v>
      </c>
      <c r="N6" s="0" t="n">
        <v>10.809</v>
      </c>
      <c r="O6" s="0" t="n">
        <v>33.079</v>
      </c>
      <c r="P6" s="0" t="n">
        <v>19.314</v>
      </c>
    </row>
    <row r="7" customFormat="false" ht="14.25" hidden="false" customHeight="false" outlineLevel="0" collapsed="false">
      <c r="B7" s="5" t="s">
        <v>8</v>
      </c>
      <c r="C7" s="0" t="n">
        <v>-117</v>
      </c>
      <c r="D7" s="0" t="n">
        <v>-106</v>
      </c>
      <c r="E7" s="0" t="n">
        <v>-96</v>
      </c>
      <c r="F7" s="0" t="n">
        <v>-66.5</v>
      </c>
      <c r="G7" s="0" t="n">
        <v>-74.5</v>
      </c>
      <c r="H7" s="0" t="n">
        <v>-85.5</v>
      </c>
      <c r="I7" s="0" t="n">
        <v>-53.5</v>
      </c>
      <c r="J7" s="0" t="n">
        <v>-53.5</v>
      </c>
      <c r="K7" s="0" t="n">
        <v>-17</v>
      </c>
      <c r="L7" s="0" t="n">
        <v>-17</v>
      </c>
      <c r="M7" s="0" t="n">
        <v>-42.5</v>
      </c>
      <c r="N7" s="0" t="n">
        <v>-30</v>
      </c>
      <c r="O7" s="0" t="n">
        <v>-6</v>
      </c>
      <c r="P7" s="0" t="n">
        <v>6.5</v>
      </c>
    </row>
    <row r="8" s="8" customFormat="true" ht="14.25" hidden="false" customHeight="false" outlineLevel="0" collapsed="false">
      <c r="A8" s="6" t="s">
        <v>9</v>
      </c>
      <c r="B8" s="7" t="s">
        <v>10</v>
      </c>
      <c r="C8" s="8" t="n">
        <v>36.1</v>
      </c>
      <c r="D8" s="8" t="n">
        <v>29</v>
      </c>
      <c r="E8" s="8" t="n">
        <v>26.5</v>
      </c>
      <c r="F8" s="8" t="n">
        <v>32.3</v>
      </c>
      <c r="G8" s="8" t="n">
        <v>31.2</v>
      </c>
      <c r="H8" s="8" t="n">
        <v>27.6</v>
      </c>
      <c r="I8" s="8" t="n">
        <v>33.6</v>
      </c>
      <c r="J8" s="8" t="n">
        <v>36.5</v>
      </c>
      <c r="K8" s="8" t="n">
        <v>36</v>
      </c>
      <c r="L8" s="8" t="n">
        <v>35.2</v>
      </c>
      <c r="M8" s="8" t="n">
        <v>39.9</v>
      </c>
      <c r="N8" s="8" t="n">
        <v>39.7</v>
      </c>
      <c r="O8" s="8" t="n">
        <v>36.2</v>
      </c>
      <c r="P8" s="8" t="n">
        <v>32.5</v>
      </c>
    </row>
    <row r="9" customFormat="false" ht="14.25" hidden="false" customHeight="false" outlineLevel="0" collapsed="false">
      <c r="A9" s="9"/>
      <c r="B9" s="10" t="s">
        <v>11</v>
      </c>
      <c r="C9" s="0" t="n">
        <v>32</v>
      </c>
      <c r="D9" s="0" t="n">
        <v>34.5</v>
      </c>
      <c r="E9" s="0" t="n">
        <v>31</v>
      </c>
      <c r="F9" s="0" t="n">
        <v>44.5</v>
      </c>
      <c r="G9" s="0" t="n">
        <v>35.5</v>
      </c>
      <c r="H9" s="0" t="n">
        <v>33</v>
      </c>
      <c r="I9" s="0" t="n">
        <v>35.5</v>
      </c>
      <c r="J9" s="0" t="n">
        <v>35</v>
      </c>
      <c r="K9" s="0" t="n">
        <v>35</v>
      </c>
      <c r="L9" s="0" t="n">
        <v>37</v>
      </c>
      <c r="M9" s="0" t="n">
        <v>40.5</v>
      </c>
      <c r="N9" s="0" t="n">
        <v>38</v>
      </c>
      <c r="O9" s="0" t="n">
        <v>34</v>
      </c>
      <c r="P9" s="0" t="n">
        <v>33.5</v>
      </c>
    </row>
    <row r="10" customFormat="false" ht="14.25" hidden="false" customHeight="false" outlineLevel="0" collapsed="false">
      <c r="A10" s="9"/>
      <c r="B10" s="10" t="s">
        <v>12</v>
      </c>
      <c r="C10" s="0" t="n">
        <v>533</v>
      </c>
      <c r="D10" s="0" t="n">
        <v>529.5</v>
      </c>
      <c r="E10" s="0" t="n">
        <v>520</v>
      </c>
      <c r="F10" s="0" t="n">
        <v>524</v>
      </c>
      <c r="G10" s="0" t="n">
        <v>522</v>
      </c>
      <c r="H10" s="0" t="n">
        <v>522</v>
      </c>
      <c r="I10" s="0" t="n">
        <v>526</v>
      </c>
      <c r="J10" s="0" t="n">
        <v>470</v>
      </c>
      <c r="K10" s="0" t="n">
        <v>461</v>
      </c>
      <c r="L10" s="0" t="n">
        <v>461</v>
      </c>
      <c r="M10" s="0" t="n">
        <v>462</v>
      </c>
      <c r="N10" s="0" t="n">
        <v>457</v>
      </c>
      <c r="O10" s="0" t="n">
        <v>440</v>
      </c>
      <c r="P10" s="0" t="n">
        <v>430</v>
      </c>
    </row>
    <row r="11" customFormat="false" ht="14.25" hidden="false" customHeight="false" outlineLevel="0" collapsed="false">
      <c r="A11" s="9"/>
      <c r="B11" s="10" t="s">
        <v>13</v>
      </c>
      <c r="C11" s="0" t="n">
        <f aca="false">($C$2-C10)/$C$2</f>
        <v>0.0430879712746858</v>
      </c>
      <c r="D11" s="0" t="n">
        <f aca="false">($C$2-D10)/$C$2</f>
        <v>0.0493716337522442</v>
      </c>
      <c r="E11" s="0" t="n">
        <f aca="false">($C$2-E10)/$C$2</f>
        <v>0.066427289048474</v>
      </c>
      <c r="F11" s="0" t="n">
        <f aca="false">($C$2-F10)/$C$2</f>
        <v>0.059245960502693</v>
      </c>
      <c r="G11" s="0" t="n">
        <f aca="false">($C$2-G10)/$C$2</f>
        <v>0.0628366247755835</v>
      </c>
      <c r="H11" s="0" t="n">
        <f aca="false">($C$2-H10)/$C$2</f>
        <v>0.0628366247755835</v>
      </c>
      <c r="I11" s="0" t="n">
        <f aca="false">($C$2-I10)/$C$2</f>
        <v>0.0556552962298025</v>
      </c>
      <c r="J11" s="0" t="n">
        <f aca="false">($C$2-J10)/$C$2</f>
        <v>0.156193895870736</v>
      </c>
      <c r="K11" s="0" t="n">
        <f aca="false">($C$2-K10)/$C$2</f>
        <v>0.172351885098743</v>
      </c>
      <c r="L11" s="0" t="n">
        <f aca="false">($C$2-L10)/$C$2</f>
        <v>0.172351885098743</v>
      </c>
      <c r="M11" s="0" t="n">
        <f aca="false">($C$2-M10)/$C$2</f>
        <v>0.170556552962298</v>
      </c>
      <c r="N11" s="0" t="n">
        <f aca="false">($C$2-N10)/$C$2</f>
        <v>0.179533213644524</v>
      </c>
      <c r="O11" s="0" t="n">
        <f aca="false">($C$2-O10)/$C$2</f>
        <v>0.210053859964093</v>
      </c>
      <c r="P11" s="0" t="n">
        <f aca="false">($C$2-P10)/$C$2</f>
        <v>0.228007181328546</v>
      </c>
    </row>
    <row r="12" s="8" customFormat="true" ht="14.25" hidden="false" customHeight="false" outlineLevel="0" collapsed="false">
      <c r="A12" s="6" t="s">
        <v>14</v>
      </c>
      <c r="B12" s="7" t="s">
        <v>15</v>
      </c>
    </row>
    <row r="13" customFormat="false" ht="14.25" hidden="false" customHeight="false" outlineLevel="0" collapsed="false">
      <c r="A13" s="9"/>
      <c r="B13" s="10" t="s">
        <v>16</v>
      </c>
      <c r="C13" s="0" t="n">
        <v>366.05</v>
      </c>
      <c r="D13" s="0" t="n">
        <v>366.05</v>
      </c>
      <c r="E13" s="0" t="n">
        <v>366.05</v>
      </c>
      <c r="F13" s="0" t="n">
        <v>366.05</v>
      </c>
      <c r="G13" s="0" t="n">
        <v>366.05</v>
      </c>
      <c r="H13" s="0" t="n">
        <v>366.05</v>
      </c>
      <c r="I13" s="0" t="n">
        <v>366.05</v>
      </c>
      <c r="J13" s="0" t="n">
        <v>366.05</v>
      </c>
      <c r="K13" s="0" t="n">
        <v>366.05</v>
      </c>
      <c r="L13" s="0" t="n">
        <v>366.05</v>
      </c>
      <c r="M13" s="0" t="n">
        <v>366.05</v>
      </c>
      <c r="N13" s="0" t="n">
        <v>366.05</v>
      </c>
      <c r="O13" s="0" t="n">
        <v>366.05</v>
      </c>
      <c r="P13" s="0" t="n">
        <v>366.05</v>
      </c>
      <c r="Q13" s="0" t="n">
        <v>366.05</v>
      </c>
    </row>
    <row r="14" customFormat="false" ht="14.25" hidden="false" customHeight="false" outlineLevel="0" collapsed="false">
      <c r="A14" s="9"/>
      <c r="B14" s="10" t="s">
        <v>17</v>
      </c>
      <c r="C14" s="0" t="n">
        <v>60</v>
      </c>
      <c r="D14" s="0" t="n">
        <v>65</v>
      </c>
      <c r="E14" s="0" t="n">
        <v>57</v>
      </c>
      <c r="F14" s="0" t="n">
        <v>73</v>
      </c>
      <c r="G14" s="0" t="n">
        <v>62</v>
      </c>
      <c r="H14" s="0" t="n">
        <v>67</v>
      </c>
      <c r="I14" s="0" t="n">
        <v>74</v>
      </c>
      <c r="J14" s="0" t="n">
        <v>65</v>
      </c>
      <c r="K14" s="0" t="n">
        <v>70</v>
      </c>
      <c r="L14" s="0" t="n">
        <v>75</v>
      </c>
      <c r="M14" s="0" t="n">
        <v>62.5</v>
      </c>
      <c r="N14" s="0" t="n">
        <v>69</v>
      </c>
      <c r="O14" s="0" t="n">
        <v>60</v>
      </c>
      <c r="P14" s="0" t="n">
        <v>64</v>
      </c>
    </row>
    <row r="15" s="13" customFormat="true" ht="14.25" hidden="false" customHeight="false" outlineLevel="0" collapsed="false">
      <c r="A15" s="11"/>
      <c r="B15" s="12" t="s">
        <v>18</v>
      </c>
    </row>
    <row r="16" customFormat="false" ht="14.25" hidden="false" customHeight="false" outlineLevel="0" collapsed="false">
      <c r="B16" s="4" t="s">
        <v>19</v>
      </c>
      <c r="C16" s="0" t="n">
        <f aca="false">C6*COS(RADIANS(C9-3.05))*C13/1000</f>
        <v>6.85301723640264</v>
      </c>
      <c r="D16" s="0" t="n">
        <f aca="false">D6*COS(RADIANS(D9-3.05))*D13/1000</f>
        <v>3.0616448382429</v>
      </c>
      <c r="E16" s="0" t="n">
        <f aca="false">E6*COS(RADIANS(E9-3.05))*E13/1000</f>
        <v>1.75674348554326</v>
      </c>
      <c r="F16" s="0" t="n">
        <f aca="false">F6*COS(RADIANS(F9-3.05))*F13/1000</f>
        <v>0.428753004278961</v>
      </c>
      <c r="G16" s="0" t="n">
        <f aca="false">G6*COS(RADIANS(G9-3.05))*G13/1000</f>
        <v>0.96291824494656</v>
      </c>
      <c r="H16" s="0" t="n">
        <f aca="false">H6*COS(RADIANS(H9-3.05))*H13/1000</f>
        <v>1.4332513689041</v>
      </c>
      <c r="I16" s="0" t="n">
        <f aca="false">I6*COS(RADIANS(I9-3.05))*I13/1000</f>
        <v>0.353097823693072</v>
      </c>
      <c r="J16" s="0" t="n">
        <f aca="false">J6*COS(RADIANS(J9-3.05))*J13/1000</f>
        <v>6.22529896193993</v>
      </c>
      <c r="K16" s="0" t="n">
        <f aca="false">K6*COS(RADIANS(K9-3.05))*K13/1000</f>
        <v>1.05410465584153</v>
      </c>
      <c r="L16" s="0" t="n">
        <f aca="false">L6*COS(RADIANS(L9-2.83))*L13/1000</f>
        <v>1.23536811606708</v>
      </c>
      <c r="M16" s="0" t="n">
        <f aca="false">M6*COS(RADIANS(M9-2.83))*M13/1000</f>
        <v>6.04204293111283</v>
      </c>
      <c r="N16" s="0" t="n">
        <f aca="false">N6*COS(RADIANS(N9-2.83))*N13/1000</f>
        <v>3.23433740060947</v>
      </c>
      <c r="O16" s="0" t="n">
        <f aca="false">O6*COS(RADIANS(O9-2.83))*O13/1000</f>
        <v>10.3605191537384</v>
      </c>
      <c r="P16" s="0" t="n">
        <f aca="false">P6*COS(RADIANS(P9-2.83))*P13/1000</f>
        <v>6.08094980551037</v>
      </c>
      <c r="Q16" s="0" t="n">
        <f aca="false">Q6*COS(RADIANS(Q9-2.83))*Q13/1000</f>
        <v>0</v>
      </c>
    </row>
    <row r="17" customFormat="false" ht="14.25" hidden="false" customHeight="false" outlineLevel="0" collapsed="false">
      <c r="J17" s="0" t="s">
        <v>20</v>
      </c>
    </row>
    <row r="18" customFormat="false" ht="14.25" hidden="false" customHeight="false" outlineLevel="0" collapsed="false">
      <c r="O18" s="0" t="s">
        <v>21</v>
      </c>
    </row>
    <row r="19" customFormat="false" ht="14.25" hidden="false" customHeight="false" outlineLevel="0" collapsed="false">
      <c r="O19" s="0" t="s">
        <v>22</v>
      </c>
    </row>
    <row r="20" customFormat="false" ht="14.25" hidden="false" customHeight="false" outlineLevel="0" collapsed="false">
      <c r="B20" s="1" t="s">
        <v>23</v>
      </c>
      <c r="C20" s="1" t="s">
        <v>24</v>
      </c>
    </row>
    <row r="21" customFormat="false" ht="14.25" hidden="false" customHeight="false" outlineLevel="0" collapsed="false">
      <c r="C21" s="0" t="n">
        <v>6.12972152685193</v>
      </c>
      <c r="K21" s="0" t="s">
        <v>25</v>
      </c>
    </row>
    <row r="22" customFormat="false" ht="14.25" hidden="false" customHeight="false" outlineLevel="0" collapsed="false">
      <c r="C22" s="0" t="n">
        <v>2.74797250443463</v>
      </c>
      <c r="K22" s="0" t="s">
        <v>26</v>
      </c>
      <c r="L22" s="0" t="s">
        <v>27</v>
      </c>
      <c r="M22" s="0" t="s">
        <v>28</v>
      </c>
    </row>
    <row r="23" customFormat="false" ht="14.25" hidden="false" customHeight="false" outlineLevel="0" collapsed="false">
      <c r="C23" s="0" t="n">
        <v>1.58770915277594</v>
      </c>
      <c r="K23" s="0" t="n">
        <v>0.02163</v>
      </c>
      <c r="L23" s="0" t="n">
        <v>-0.07164</v>
      </c>
      <c r="M23" s="0" t="n">
        <v>0</v>
      </c>
    </row>
    <row r="24" customFormat="false" ht="14.25" hidden="false" customHeight="false" outlineLevel="0" collapsed="false">
      <c r="C24" s="0" t="n">
        <v>0.393968300538092</v>
      </c>
    </row>
    <row r="25" customFormat="false" ht="14.25" hidden="false" customHeight="false" outlineLevel="0" collapsed="false">
      <c r="C25" s="0" t="n">
        <v>0.879975239713352</v>
      </c>
      <c r="K25" s="0" t="s">
        <v>25</v>
      </c>
    </row>
    <row r="26" customFormat="false" ht="14.25" hidden="false" customHeight="false" outlineLevel="0" collapsed="false">
      <c r="C26" s="0" t="n">
        <v>1.30176056989806</v>
      </c>
      <c r="K26" s="0" t="s">
        <v>26</v>
      </c>
      <c r="L26" s="0" t="s">
        <v>27</v>
      </c>
      <c r="M26" s="0" t="s">
        <v>28</v>
      </c>
    </row>
    <row r="27" customFormat="false" ht="14.25" hidden="false" customHeight="false" outlineLevel="0" collapsed="false">
      <c r="C27" s="0" t="n">
        <v>0.327108261221737</v>
      </c>
      <c r="K27" s="0" t="n">
        <v>0.03776</v>
      </c>
      <c r="L27" s="0" t="n">
        <v>-0.02481</v>
      </c>
      <c r="M27" s="0" t="n">
        <v>0</v>
      </c>
    </row>
    <row r="28" customFormat="false" ht="14.25" hidden="false" customHeight="false" outlineLevel="0" collapsed="false">
      <c r="C28" s="0" t="n">
        <v>5.76631757047453</v>
      </c>
    </row>
    <row r="29" customFormat="false" ht="14.25" hidden="false" customHeight="false" outlineLevel="0" collapsed="false">
      <c r="C29" s="0" t="n">
        <v>0.997931957717987</v>
      </c>
    </row>
    <row r="30" customFormat="false" ht="14.25" hidden="false" customHeight="false" outlineLevel="0" collapsed="false">
      <c r="C30" s="0" t="n">
        <v>1.17473937755851</v>
      </c>
    </row>
    <row r="31" customFormat="false" ht="14.25" hidden="false" customHeight="false" outlineLevel="0" collapsed="false">
      <c r="C31" s="0" t="n">
        <v>5.66699725609134</v>
      </c>
    </row>
    <row r="32" customFormat="false" ht="14.25" hidden="false" customHeight="false" outlineLevel="0" collapsed="false">
      <c r="C32" s="0" t="n">
        <v>3.05323233713781</v>
      </c>
    </row>
    <row r="33" customFormat="false" ht="14.25" hidden="false" customHeight="false" outlineLevel="0" collapsed="false">
      <c r="C33" s="0" t="n">
        <v>9.8822570388584</v>
      </c>
    </row>
    <row r="34" customFormat="false" ht="14.25" hidden="false" customHeight="false" outlineLevel="0" collapsed="false">
      <c r="C34" s="0" t="n">
        <v>5.83398113159853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N23" activeCellId="0" sqref="N23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9" min="8" style="0" width="13.44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C2" s="0" t="n">
        <v>557</v>
      </c>
    </row>
    <row r="3" customFormat="false" ht="14.25" hidden="false" customHeight="false" outlineLevel="0" collapsed="false">
      <c r="B3" s="1" t="s">
        <v>2</v>
      </c>
      <c r="C3" s="0" t="n">
        <f aca="false">C2-C2*0.17</f>
        <v>462.31</v>
      </c>
    </row>
    <row r="4" customFormat="false" ht="14.25" hidden="false" customHeight="false" outlineLevel="0" collapsed="false">
      <c r="B4" s="1" t="s">
        <v>3</v>
      </c>
      <c r="C4" s="0" t="n">
        <v>90</v>
      </c>
    </row>
    <row r="5" s="2" customFormat="true" ht="14.25" hidden="false" customHeight="false" outlineLevel="0" collapsed="false">
      <c r="B5" s="3" t="s">
        <v>6</v>
      </c>
      <c r="C5" s="2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>
        <v>6</v>
      </c>
      <c r="I5" s="2" t="n">
        <v>7</v>
      </c>
      <c r="J5" s="2" t="n">
        <v>8</v>
      </c>
      <c r="K5" s="2" t="n">
        <v>9</v>
      </c>
      <c r="L5" s="2" t="n">
        <v>10</v>
      </c>
      <c r="M5" s="2" t="n">
        <v>11</v>
      </c>
      <c r="N5" s="2" t="n">
        <v>12</v>
      </c>
      <c r="O5" s="2" t="n">
        <v>13</v>
      </c>
      <c r="P5" s="2" t="n">
        <v>14</v>
      </c>
      <c r="Q5" s="2" t="n">
        <v>15</v>
      </c>
    </row>
    <row r="6" customFormat="false" ht="14.25" hidden="false" customHeight="false" outlineLevel="0" collapsed="false">
      <c r="B6" s="4" t="s">
        <v>7</v>
      </c>
      <c r="C6" s="0" t="n">
        <v>84.118</v>
      </c>
      <c r="D6" s="0" t="n">
        <v>124</v>
      </c>
    </row>
    <row r="7" customFormat="false" ht="14.25" hidden="false" customHeight="false" outlineLevel="0" collapsed="false">
      <c r="B7" s="5" t="s">
        <v>8</v>
      </c>
      <c r="C7" s="0" t="n">
        <v>6</v>
      </c>
      <c r="D7" s="0" t="n">
        <v>-16</v>
      </c>
    </row>
    <row r="8" customFormat="false" ht="14.25" hidden="false" customHeight="false" outlineLevel="0" collapsed="false">
      <c r="B8" s="3" t="s">
        <v>29</v>
      </c>
      <c r="C8" s="0" t="n">
        <v>604</v>
      </c>
      <c r="D8" s="0" t="n">
        <v>530</v>
      </c>
    </row>
    <row r="9" s="8" customFormat="true" ht="14.25" hidden="false" customHeight="false" outlineLevel="0" collapsed="false">
      <c r="A9" s="6" t="s">
        <v>9</v>
      </c>
      <c r="B9" s="7" t="s">
        <v>10</v>
      </c>
      <c r="C9" s="8" t="n">
        <v>16.5</v>
      </c>
    </row>
    <row r="10" customFormat="false" ht="14.25" hidden="false" customHeight="false" outlineLevel="0" collapsed="false">
      <c r="A10" s="9"/>
      <c r="B10" s="10" t="s">
        <v>11</v>
      </c>
      <c r="C10" s="0" t="n">
        <v>14.6</v>
      </c>
      <c r="D10" s="0" t="n">
        <v>14.6</v>
      </c>
      <c r="E10" s="0" t="n">
        <v>14.6</v>
      </c>
      <c r="F10" s="0" t="n">
        <v>14.6</v>
      </c>
      <c r="G10" s="0" t="n">
        <v>14.6</v>
      </c>
      <c r="H10" s="0" t="n">
        <v>14.6</v>
      </c>
      <c r="I10" s="0" t="n">
        <v>14.6</v>
      </c>
      <c r="J10" s="0" t="n">
        <v>14.6</v>
      </c>
      <c r="K10" s="0" t="n">
        <v>14.6</v>
      </c>
      <c r="L10" s="0" t="n">
        <v>14.6</v>
      </c>
      <c r="M10" s="0" t="n">
        <v>14.6</v>
      </c>
      <c r="N10" s="0" t="n">
        <v>14.6</v>
      </c>
      <c r="O10" s="0" t="n">
        <v>14.6</v>
      </c>
      <c r="P10" s="0" t="n">
        <v>14.6</v>
      </c>
      <c r="Q10" s="0" t="n">
        <v>14.6</v>
      </c>
    </row>
    <row r="11" customFormat="false" ht="14.25" hidden="false" customHeight="false" outlineLevel="0" collapsed="false">
      <c r="A11" s="9"/>
      <c r="B11" s="10" t="s">
        <v>12</v>
      </c>
      <c r="C11" s="0" t="n">
        <v>399</v>
      </c>
    </row>
    <row r="12" customFormat="false" ht="14.25" hidden="false" customHeight="false" outlineLevel="0" collapsed="false">
      <c r="A12" s="9"/>
      <c r="B12" s="10" t="s">
        <v>30</v>
      </c>
      <c r="C12" s="0" t="n">
        <f aca="false">($C$2-C11)/$C$2</f>
        <v>0.283662477558348</v>
      </c>
    </row>
    <row r="13" s="8" customFormat="true" ht="14.25" hidden="false" customHeight="false" outlineLevel="0" collapsed="false">
      <c r="A13" s="6" t="s">
        <v>14</v>
      </c>
      <c r="B13" s="7" t="s">
        <v>15</v>
      </c>
    </row>
    <row r="14" customFormat="false" ht="14.25" hidden="false" customHeight="false" outlineLevel="0" collapsed="false">
      <c r="A14" s="9"/>
      <c r="B14" s="10" t="s">
        <v>16</v>
      </c>
      <c r="C14" s="0" t="n">
        <v>240.61</v>
      </c>
      <c r="D14" s="0" t="n">
        <v>240.61</v>
      </c>
      <c r="E14" s="0" t="n">
        <v>240.61</v>
      </c>
      <c r="F14" s="0" t="n">
        <v>240.61</v>
      </c>
      <c r="G14" s="0" t="n">
        <v>240.61</v>
      </c>
      <c r="H14" s="0" t="n">
        <v>240.61</v>
      </c>
      <c r="I14" s="0" t="n">
        <v>240.61</v>
      </c>
      <c r="J14" s="0" t="n">
        <v>240.61</v>
      </c>
      <c r="K14" s="0" t="n">
        <v>240.61</v>
      </c>
      <c r="L14" s="0" t="n">
        <v>240.61</v>
      </c>
      <c r="M14" s="0" t="n">
        <v>240.61</v>
      </c>
      <c r="N14" s="0" t="n">
        <v>240.61</v>
      </c>
      <c r="O14" s="0" t="n">
        <v>240.61</v>
      </c>
      <c r="P14" s="0" t="n">
        <v>240.61</v>
      </c>
      <c r="Q14" s="0" t="n">
        <v>240.61</v>
      </c>
    </row>
    <row r="15" customFormat="false" ht="14.25" hidden="false" customHeight="false" outlineLevel="0" collapsed="false">
      <c r="A15" s="9"/>
      <c r="B15" s="10" t="s">
        <v>17</v>
      </c>
      <c r="C15" s="0" t="n">
        <v>65</v>
      </c>
    </row>
    <row r="16" s="13" customFormat="true" ht="14.25" hidden="false" customHeight="false" outlineLevel="0" collapsed="false">
      <c r="A16" s="11"/>
      <c r="B16" s="12" t="s">
        <v>18</v>
      </c>
    </row>
    <row r="17" customFormat="false" ht="14.25" hidden="false" customHeight="false" outlineLevel="0" collapsed="false">
      <c r="B17" s="4" t="s">
        <v>19</v>
      </c>
      <c r="C17" s="0" t="n">
        <f aca="false">C6*COS(RADIANS(C10-4.2))*C14/1000</f>
        <v>19.9071245952902</v>
      </c>
      <c r="D17" s="0" t="n">
        <f aca="false">D6*COS(RADIANS(D10-5))*D14/1000</f>
        <v>29.4178228034622</v>
      </c>
      <c r="E17" s="0" t="n">
        <f aca="false">E6*COS(RADIANS(E10))*E14/1000</f>
        <v>0</v>
      </c>
      <c r="F17" s="0" t="n">
        <f aca="false">F6*COS(RADIANS(F10))*F14/1000</f>
        <v>0</v>
      </c>
      <c r="G17" s="0" t="n">
        <f aca="false">G6*COS(RADIANS(G10))*G14/1000</f>
        <v>0</v>
      </c>
      <c r="H17" s="0" t="n">
        <f aca="false">H6*COS(RADIANS(H10))*H14/1000</f>
        <v>0</v>
      </c>
      <c r="I17" s="0" t="n">
        <f aca="false">I6*COS(RADIANS(I10))*I14/1000</f>
        <v>0</v>
      </c>
      <c r="J17" s="0" t="n">
        <f aca="false">J6*COS(RADIANS(J10))*J14/1000</f>
        <v>0</v>
      </c>
      <c r="K17" s="0" t="n">
        <f aca="false">K6*COS(RADIANS(K10))*K14/1000</f>
        <v>0</v>
      </c>
      <c r="L17" s="0" t="n">
        <f aca="false">L6*COS(RADIANS(L10))*L14/1000</f>
        <v>0</v>
      </c>
      <c r="M17" s="0" t="n">
        <f aca="false">M6*COS(RADIANS(M10))*M14/1000</f>
        <v>0</v>
      </c>
      <c r="N17" s="0" t="n">
        <f aca="false">N6*COS(RADIANS(N10))*N14/1000</f>
        <v>0</v>
      </c>
      <c r="O17" s="0" t="n">
        <f aca="false">O6*COS(RADIANS(O10))*O14/1000</f>
        <v>0</v>
      </c>
      <c r="P17" s="0" t="n">
        <f aca="false">P6*COS(RADIANS(P10))*P14/1000</f>
        <v>0</v>
      </c>
      <c r="Q17" s="0" t="n">
        <f aca="false">Q6*COS(RADIANS(Q10))*Q14/1000</f>
        <v>0</v>
      </c>
    </row>
    <row r="18" customFormat="false" ht="14.25" hidden="false" customHeight="false" outlineLevel="0" collapsed="false">
      <c r="B18" s="3" t="s">
        <v>31</v>
      </c>
      <c r="C18" s="0" t="n">
        <v>30.557</v>
      </c>
      <c r="D18" s="0" t="n">
        <v>48</v>
      </c>
    </row>
    <row r="19" customFormat="false" ht="14.25" hidden="false" customHeight="false" outlineLevel="0" collapsed="false">
      <c r="D19" s="0" t="s">
        <v>32</v>
      </c>
    </row>
    <row r="21" customFormat="false" ht="14.25" hidden="false" customHeight="false" outlineLevel="0" collapsed="false">
      <c r="C21" s="0" t="s">
        <v>25</v>
      </c>
      <c r="I21" s="1" t="s">
        <v>23</v>
      </c>
      <c r="J21" s="1" t="s">
        <v>24</v>
      </c>
    </row>
    <row r="22" customFormat="false" ht="14.25" hidden="false" customHeight="false" outlineLevel="0" collapsed="false">
      <c r="C22" s="0" t="s">
        <v>26</v>
      </c>
      <c r="D22" s="0" t="s">
        <v>27</v>
      </c>
      <c r="E22" s="0" t="s">
        <v>28</v>
      </c>
      <c r="G22" s="0" t="s">
        <v>33</v>
      </c>
      <c r="I22" s="1"/>
      <c r="J22" s="0" t="n">
        <v>18.2609</v>
      </c>
    </row>
    <row r="23" customFormat="false" ht="14.25" hidden="false" customHeight="false" outlineLevel="0" collapsed="false">
      <c r="C23" s="0" t="n">
        <v>0.02018</v>
      </c>
      <c r="D23" s="0" t="n">
        <v>-0.11127</v>
      </c>
      <c r="E23" s="0" t="n">
        <v>0</v>
      </c>
    </row>
    <row r="25" customFormat="false" ht="14.25" hidden="false" customHeight="false" outlineLevel="0" collapsed="false">
      <c r="C25" s="0" t="s">
        <v>25</v>
      </c>
    </row>
    <row r="26" customFormat="false" ht="14.25" hidden="false" customHeight="false" outlineLevel="0" collapsed="false">
      <c r="C26" s="0" t="s">
        <v>26</v>
      </c>
      <c r="D26" s="0" t="s">
        <v>27</v>
      </c>
      <c r="E26" s="0" t="s">
        <v>28</v>
      </c>
      <c r="G26" s="0" t="s">
        <v>34</v>
      </c>
    </row>
    <row r="27" customFormat="false" ht="14.25" hidden="false" customHeight="false" outlineLevel="0" collapsed="false">
      <c r="C27" s="0" t="n">
        <v>0.03619</v>
      </c>
      <c r="D27" s="0" t="n">
        <v>-0.06395</v>
      </c>
      <c r="E2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.11"/>
    <col collapsed="false" customWidth="true" hidden="false" outlineLevel="0" max="2" min="2" style="0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8" min="8" style="0" width="13.44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B3" s="1" t="s">
        <v>2</v>
      </c>
      <c r="D3" s="14" t="s">
        <v>36</v>
      </c>
    </row>
    <row r="4" customFormat="false" ht="15" hidden="false" customHeight="false" outlineLevel="0" collapsed="false">
      <c r="B4" s="1" t="s">
        <v>37</v>
      </c>
      <c r="D4" s="0" t="s">
        <v>36</v>
      </c>
    </row>
    <row r="5" customFormat="false" ht="15" hidden="false" customHeight="false" outlineLevel="0" collapsed="false">
      <c r="B5" s="15" t="s">
        <v>6</v>
      </c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  <c r="H5" s="16" t="n">
        <v>6</v>
      </c>
      <c r="I5" s="16" t="n">
        <v>7</v>
      </c>
      <c r="J5" s="16" t="n">
        <v>8</v>
      </c>
      <c r="K5" s="16" t="n">
        <v>9</v>
      </c>
      <c r="L5" s="16" t="n">
        <v>10</v>
      </c>
      <c r="M5" s="16" t="n">
        <v>11</v>
      </c>
      <c r="N5" s="16" t="n">
        <v>12</v>
      </c>
      <c r="O5" s="16" t="n">
        <v>13</v>
      </c>
      <c r="P5" s="16" t="n">
        <v>14</v>
      </c>
      <c r="Q5" s="16" t="n">
        <v>15</v>
      </c>
      <c r="R5" s="16" t="n">
        <v>16</v>
      </c>
      <c r="S5" s="16" t="n">
        <v>17</v>
      </c>
      <c r="T5" s="16" t="n">
        <v>18</v>
      </c>
      <c r="U5" s="16" t="n">
        <v>19</v>
      </c>
      <c r="V5" s="16" t="n">
        <v>20</v>
      </c>
      <c r="W5" s="16" t="n">
        <v>21</v>
      </c>
      <c r="X5" s="16" t="n">
        <v>22</v>
      </c>
    </row>
    <row r="6" customFormat="false" ht="15" hidden="false" customHeight="false" outlineLevel="0" collapsed="false">
      <c r="B6" s="11" t="s">
        <v>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customFormat="false" ht="15" hidden="false" customHeight="false" outlineLevel="0" collapsed="false">
      <c r="B7" s="6" t="s">
        <v>8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customFormat="false" ht="15" hidden="false" customHeight="false" outlineLevel="0" collapsed="false">
      <c r="B8" s="19" t="s">
        <v>38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customFormat="false" ht="15" hidden="false" customHeight="false" outlineLevel="0" collapsed="false">
      <c r="A9" s="9" t="s">
        <v>9</v>
      </c>
      <c r="B9" s="1" t="s">
        <v>10</v>
      </c>
    </row>
    <row r="10" customFormat="false" ht="15" hidden="false" customHeight="false" outlineLevel="0" collapsed="false">
      <c r="B10" s="1" t="s">
        <v>11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customFormat="false" ht="15" hidden="false" customHeight="false" outlineLevel="0" collapsed="false">
      <c r="B11" s="21" t="s">
        <v>12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customFormat="false" ht="15" hidden="false" customHeight="false" outlineLevel="0" collapsed="false">
      <c r="A12" s="9" t="s">
        <v>14</v>
      </c>
      <c r="B12" s="1" t="s">
        <v>15</v>
      </c>
    </row>
    <row r="13" customFormat="false" ht="15" hidden="false" customHeight="false" outlineLevel="0" collapsed="false">
      <c r="B13" s="1" t="s">
        <v>16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customFormat="false" ht="15" hidden="false" customHeight="false" outlineLevel="0" collapsed="false">
      <c r="B14" s="1" t="s">
        <v>17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customFormat="false" ht="15" hidden="false" customHeight="false" outlineLevel="0" collapsed="false">
      <c r="B15" s="21" t="s">
        <v>18</v>
      </c>
    </row>
    <row r="16" customFormat="false" ht="15" hidden="false" customHeight="false" outlineLevel="0" collapsed="false">
      <c r="B16" s="11" t="s">
        <v>19</v>
      </c>
      <c r="C16" s="17" t="n">
        <f aca="false">C6*COS(RADIANS(C10-2.83))*C13/1000</f>
        <v>0</v>
      </c>
      <c r="D16" s="17" t="n">
        <f aca="false">D6*COS(RADIANS(D10-2.83))*D13/1000</f>
        <v>0</v>
      </c>
      <c r="E16" s="17" t="n">
        <f aca="false">E6*COS(RADIANS(E10-2.83))*E13/1000</f>
        <v>0</v>
      </c>
      <c r="F16" s="17" t="n">
        <f aca="false">F6*COS(RADIANS(F10-2.83))*F13/1000</f>
        <v>0</v>
      </c>
      <c r="G16" s="17" t="n">
        <f aca="false">G6*COS(RADIANS(G10-2.83))*G13/1000</f>
        <v>0</v>
      </c>
      <c r="H16" s="17" t="n">
        <f aca="false">H6*COS(RADIANS(H10-2.83))*H13/1000</f>
        <v>0</v>
      </c>
      <c r="I16" s="17" t="n">
        <f aca="false">I6*COS(RADIANS(I10-2.83))*I13/1000</f>
        <v>0</v>
      </c>
      <c r="J16" s="17" t="n">
        <f aca="false">J6*COS(RADIANS(J10-2.83))*J13/1000</f>
        <v>0</v>
      </c>
      <c r="K16" s="17" t="n">
        <f aca="false">K6*COS(RADIANS(K10-2.83))*K13/1000</f>
        <v>0</v>
      </c>
      <c r="L16" s="17" t="n">
        <f aca="false">L6*COS(RADIANS(L10-2.83))*L13/1000</f>
        <v>0</v>
      </c>
      <c r="M16" s="17" t="n">
        <f aca="false">M6*COS(RADIANS(M10-2.83))*M13/1000</f>
        <v>0</v>
      </c>
      <c r="N16" s="17" t="n">
        <f aca="false">N6*COS(RADIANS(N10-2.83))*N13/1000</f>
        <v>0</v>
      </c>
      <c r="O16" s="17" t="n">
        <f aca="false">O6*COS(RADIANS(O10-2.83))*O13/1000</f>
        <v>0</v>
      </c>
      <c r="P16" s="17" t="n">
        <f aca="false">P6*COS(RADIANS(P10-2.83))*P13/1000</f>
        <v>0</v>
      </c>
      <c r="Q16" s="17" t="n">
        <f aca="false">Q6*COS(RADIANS(Q10-2.83))*Q13/1000</f>
        <v>0</v>
      </c>
      <c r="R16" s="17" t="n">
        <f aca="false">R6*COS(RADIANS(R10-2.83))*R13/1000</f>
        <v>0</v>
      </c>
      <c r="S16" s="17" t="n">
        <f aca="false">S6*COS(RADIANS(S10-2.83))*S13/1000</f>
        <v>0</v>
      </c>
      <c r="T16" s="17" t="n">
        <f aca="false">T6*COS(RADIANS(T10-2.83))*T13/1000</f>
        <v>0</v>
      </c>
      <c r="U16" s="17" t="n">
        <f aca="false">U6*COS(RADIANS(U10-2.83))*U13/1000</f>
        <v>0</v>
      </c>
      <c r="V16" s="17" t="n">
        <f aca="false">V6*COS(RADIANS(V10-2.83))*V13/1000</f>
        <v>0</v>
      </c>
      <c r="W16" s="17" t="n">
        <f aca="false">W6*COS(RADIANS(W10-2.83))*W13/1000</f>
        <v>0</v>
      </c>
      <c r="X16" s="17" t="n">
        <f aca="false">X6*COS(RADIANS(X10-2.83))*X13/1000</f>
        <v>0</v>
      </c>
    </row>
    <row r="17" customFormat="false" ht="15" hidden="false" customHeight="false" outlineLevel="0" collapsed="false">
      <c r="B17" s="1" t="s">
        <v>24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21" customFormat="false" ht="15" hidden="false" customHeight="false" outlineLevel="0" collapsed="false">
      <c r="B21" s="1" t="s">
        <v>23</v>
      </c>
      <c r="C21" s="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9" min="8" style="0" width="13.44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1" t="s">
        <v>39</v>
      </c>
    </row>
    <row r="2" customFormat="false" ht="14.25" hidden="false" customHeight="false" outlineLevel="0" collapsed="false">
      <c r="A2" s="1" t="s">
        <v>1</v>
      </c>
      <c r="C2" s="0" t="n">
        <v>423</v>
      </c>
    </row>
    <row r="3" customFormat="false" ht="14.25" hidden="false" customHeight="false" outlineLevel="0" collapsed="false">
      <c r="B3" s="1" t="s">
        <v>2</v>
      </c>
      <c r="C3" s="0" t="n">
        <f aca="false">C2-C2*0.17</f>
        <v>351.09</v>
      </c>
      <c r="D3" s="14" t="s">
        <v>36</v>
      </c>
      <c r="E3" s="0" t="n">
        <v>322</v>
      </c>
      <c r="F3" s="0" t="n">
        <f aca="false">(C2-E3)/C2</f>
        <v>0.238770685579196</v>
      </c>
      <c r="M3" s="0" t="n">
        <f aca="false">1-369.5/423</f>
        <v>0.126477541371158</v>
      </c>
    </row>
    <row r="4" customFormat="false" ht="14.25" hidden="false" customHeight="false" outlineLevel="0" collapsed="false">
      <c r="B4" s="1" t="s">
        <v>37</v>
      </c>
      <c r="C4" s="0" t="n">
        <v>17</v>
      </c>
      <c r="I4" s="0" t="s">
        <v>4</v>
      </c>
      <c r="M4" s="0" t="s">
        <v>5</v>
      </c>
      <c r="R4" s="0" t="s">
        <v>40</v>
      </c>
    </row>
    <row r="5" s="2" customFormat="true" ht="14.25" hidden="false" customHeight="false" outlineLevel="0" collapsed="false">
      <c r="B5" s="3" t="s">
        <v>6</v>
      </c>
      <c r="C5" s="2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>
        <v>6</v>
      </c>
      <c r="I5" s="2" t="n">
        <v>7</v>
      </c>
      <c r="J5" s="2" t="n">
        <v>8</v>
      </c>
      <c r="K5" s="2" t="n">
        <v>9</v>
      </c>
      <c r="L5" s="2" t="n">
        <v>10</v>
      </c>
      <c r="M5" s="2" t="n">
        <v>11</v>
      </c>
      <c r="N5" s="2" t="n">
        <v>12</v>
      </c>
      <c r="O5" s="2" t="n">
        <v>13</v>
      </c>
      <c r="P5" s="2" t="n">
        <v>14</v>
      </c>
      <c r="Q5" s="2" t="n">
        <v>15</v>
      </c>
      <c r="R5" s="2" t="n">
        <v>16</v>
      </c>
      <c r="S5" s="2" t="n">
        <v>17</v>
      </c>
    </row>
    <row r="6" customFormat="false" ht="14.25" hidden="false" customHeight="false" outlineLevel="0" collapsed="false">
      <c r="B6" s="4" t="s">
        <v>7</v>
      </c>
      <c r="C6" s="0" t="n">
        <v>29.225</v>
      </c>
      <c r="D6" s="0" t="n">
        <v>24.009</v>
      </c>
      <c r="E6" s="0" t="n">
        <v>20.302</v>
      </c>
      <c r="F6" s="0" t="n">
        <v>17.246</v>
      </c>
      <c r="G6" s="0" t="n">
        <v>14.472</v>
      </c>
      <c r="H6" s="0" t="n">
        <v>11.127</v>
      </c>
      <c r="I6" s="0" t="n">
        <v>11.121</v>
      </c>
      <c r="J6" s="0" t="n">
        <v>9.284</v>
      </c>
      <c r="K6" s="0" t="n">
        <v>6.8421</v>
      </c>
      <c r="L6" s="0" t="n">
        <v>2.9257</v>
      </c>
      <c r="M6" s="0" t="n">
        <v>19.083</v>
      </c>
      <c r="N6" s="0" t="n">
        <v>14.757</v>
      </c>
      <c r="O6" s="0" t="n">
        <v>11.612</v>
      </c>
      <c r="P6" s="0" t="n">
        <v>5.8364</v>
      </c>
      <c r="Q6" s="0" t="n">
        <v>3.1772</v>
      </c>
      <c r="R6" s="0" t="n">
        <v>7.6226</v>
      </c>
      <c r="S6" s="0" t="n">
        <v>4.8666</v>
      </c>
    </row>
    <row r="7" customFormat="false" ht="14.25" hidden="false" customHeight="false" outlineLevel="0" collapsed="false">
      <c r="B7" s="5" t="s">
        <v>8</v>
      </c>
      <c r="C7" s="0" t="n">
        <v>-2</v>
      </c>
      <c r="D7" s="0" t="n">
        <v>-11.5</v>
      </c>
      <c r="E7" s="0" t="n">
        <v>-20</v>
      </c>
      <c r="F7" s="0" t="n">
        <v>-27</v>
      </c>
      <c r="G7" s="0" t="n">
        <v>-35</v>
      </c>
      <c r="H7" s="0" t="n">
        <v>-44</v>
      </c>
      <c r="I7" s="0" t="n">
        <v>-54.5</v>
      </c>
      <c r="J7" s="0" t="n">
        <v>-50</v>
      </c>
      <c r="K7" s="0" t="n">
        <v>-63</v>
      </c>
      <c r="L7" s="0" t="n">
        <v>-64</v>
      </c>
      <c r="M7" s="0" t="n">
        <v>-73.5</v>
      </c>
      <c r="N7" s="0" t="n">
        <v>-82</v>
      </c>
      <c r="O7" s="0" t="n">
        <v>-88</v>
      </c>
      <c r="P7" s="0" t="n">
        <v>-103.5</v>
      </c>
      <c r="Q7" s="0" t="n">
        <v>-114</v>
      </c>
      <c r="R7" s="0" t="n">
        <v>-115</v>
      </c>
      <c r="S7" s="0" t="n">
        <v>-120</v>
      </c>
    </row>
    <row r="8" customFormat="false" ht="14.25" hidden="false" customHeight="false" outlineLevel="0" collapsed="false">
      <c r="B8" s="7" t="s">
        <v>38</v>
      </c>
      <c r="C8" s="0" t="n">
        <v>300</v>
      </c>
      <c r="D8" s="0" t="n">
        <v>300</v>
      </c>
      <c r="E8" s="0" t="n">
        <v>300</v>
      </c>
      <c r="F8" s="0" t="n">
        <v>300</v>
      </c>
      <c r="G8" s="0" t="n">
        <v>300</v>
      </c>
      <c r="H8" s="0" t="n">
        <v>300</v>
      </c>
      <c r="I8" s="0" t="n">
        <v>300</v>
      </c>
      <c r="J8" s="0" t="n">
        <v>300</v>
      </c>
      <c r="K8" s="0" t="n">
        <v>300</v>
      </c>
      <c r="L8" s="0" t="n">
        <v>300</v>
      </c>
      <c r="M8" s="0" t="n">
        <v>500</v>
      </c>
      <c r="N8" s="0" t="n">
        <v>500</v>
      </c>
      <c r="O8" s="0" t="n">
        <v>500</v>
      </c>
      <c r="P8" s="0" t="n">
        <v>500</v>
      </c>
      <c r="Q8" s="0" t="n">
        <v>500</v>
      </c>
      <c r="R8" s="0" t="n">
        <v>620</v>
      </c>
      <c r="S8" s="0" t="n">
        <v>620</v>
      </c>
    </row>
    <row r="9" s="8" customFormat="true" ht="14.25" hidden="false" customHeight="false" outlineLevel="0" collapsed="false">
      <c r="A9" s="6" t="s">
        <v>9</v>
      </c>
      <c r="B9" s="7" t="s">
        <v>10</v>
      </c>
      <c r="C9" s="8" t="n">
        <v>17.4</v>
      </c>
      <c r="D9" s="8" t="n">
        <v>21.4</v>
      </c>
      <c r="E9" s="8" t="n">
        <v>22.3</v>
      </c>
      <c r="F9" s="8" t="n">
        <v>23.1</v>
      </c>
      <c r="G9" s="8" t="n">
        <v>24.9</v>
      </c>
      <c r="H9" s="8" t="n">
        <v>28.4</v>
      </c>
      <c r="I9" s="8" t="n">
        <v>29.3</v>
      </c>
      <c r="J9" s="8" t="n">
        <v>29.4</v>
      </c>
      <c r="K9" s="8" t="n">
        <v>35.1</v>
      </c>
      <c r="L9" s="8" t="n">
        <v>35.7</v>
      </c>
      <c r="M9" s="8" t="n">
        <v>34.7</v>
      </c>
      <c r="N9" s="8" t="n">
        <v>38.3</v>
      </c>
      <c r="O9" s="8" t="n">
        <v>34.9</v>
      </c>
      <c r="P9" s="8" t="n">
        <v>35.3</v>
      </c>
      <c r="Q9" s="8" t="n">
        <v>42.7</v>
      </c>
      <c r="R9" s="8" t="n">
        <v>46.4</v>
      </c>
      <c r="S9" s="8" t="n">
        <v>48.1</v>
      </c>
    </row>
    <row r="10" customFormat="false" ht="14.25" hidden="false" customHeight="false" outlineLevel="0" collapsed="false">
      <c r="A10" s="9"/>
      <c r="B10" s="10" t="s">
        <v>11</v>
      </c>
      <c r="C10" s="0" t="n">
        <v>24.5</v>
      </c>
      <c r="D10" s="0" t="n">
        <v>22</v>
      </c>
      <c r="E10" s="0" t="n">
        <v>24</v>
      </c>
      <c r="F10" s="0" t="n">
        <v>25.5</v>
      </c>
      <c r="G10" s="0" t="n">
        <v>31.5</v>
      </c>
      <c r="H10" s="0" t="n">
        <v>31</v>
      </c>
      <c r="I10" s="0" t="n">
        <v>31.5</v>
      </c>
      <c r="J10" s="0" t="n">
        <v>30</v>
      </c>
      <c r="K10" s="0" t="n">
        <v>31.5</v>
      </c>
      <c r="L10" s="0" t="n">
        <v>33.5</v>
      </c>
      <c r="M10" s="0" t="n">
        <v>38.5</v>
      </c>
      <c r="N10" s="0" t="n">
        <v>44.5</v>
      </c>
      <c r="O10" s="0" t="n">
        <v>43</v>
      </c>
      <c r="P10" s="0" t="n">
        <v>54.5</v>
      </c>
      <c r="Q10" s="0" t="n">
        <v>55.5</v>
      </c>
      <c r="R10" s="0" t="n">
        <v>52</v>
      </c>
      <c r="S10" s="0" t="n">
        <v>55</v>
      </c>
    </row>
    <row r="11" s="8" customFormat="true" ht="14.25" hidden="false" customHeight="false" outlineLevel="0" collapsed="false">
      <c r="A11" s="9"/>
      <c r="B11" s="10" t="s">
        <v>12</v>
      </c>
      <c r="C11" s="8" t="n">
        <v>401</v>
      </c>
      <c r="D11" s="8" t="n">
        <v>395</v>
      </c>
      <c r="E11" s="8" t="n">
        <v>389</v>
      </c>
      <c r="F11" s="8" t="n">
        <v>387</v>
      </c>
      <c r="G11" s="8" t="n">
        <v>382</v>
      </c>
      <c r="H11" s="8" t="n">
        <v>380</v>
      </c>
      <c r="I11" s="8" t="n">
        <v>378</v>
      </c>
      <c r="J11" s="8" t="n">
        <v>374.5</v>
      </c>
      <c r="K11" s="8" t="n">
        <v>371.5</v>
      </c>
      <c r="L11" s="8" t="n">
        <v>369.5</v>
      </c>
      <c r="M11" s="8" t="n">
        <v>354</v>
      </c>
      <c r="N11" s="8" t="n">
        <v>352.5</v>
      </c>
      <c r="O11" s="8" t="n">
        <v>350.5</v>
      </c>
      <c r="P11" s="8" t="n">
        <v>345</v>
      </c>
      <c r="Q11" s="8" t="n">
        <v>343.5</v>
      </c>
      <c r="R11" s="13" t="n">
        <v>338.5</v>
      </c>
      <c r="S11" s="13" t="n">
        <v>339</v>
      </c>
      <c r="T11" s="13"/>
      <c r="U11" s="13"/>
    </row>
    <row r="12" customFormat="false" ht="14.25" hidden="false" customHeight="false" outlineLevel="0" collapsed="false">
      <c r="A12" s="6" t="s">
        <v>14</v>
      </c>
      <c r="B12" s="7" t="s">
        <v>15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14.25" hidden="false" customHeight="false" outlineLevel="0" collapsed="false">
      <c r="A13" s="9"/>
      <c r="B13" s="10" t="s">
        <v>16</v>
      </c>
      <c r="C13" s="0" t="n">
        <v>366.43</v>
      </c>
      <c r="D13" s="0" t="n">
        <v>366.43</v>
      </c>
      <c r="E13" s="0" t="n">
        <v>366.43</v>
      </c>
      <c r="F13" s="0" t="n">
        <v>366.43</v>
      </c>
      <c r="G13" s="0" t="n">
        <v>366.43</v>
      </c>
      <c r="H13" s="0" t="n">
        <v>366.43</v>
      </c>
      <c r="I13" s="0" t="n">
        <v>366.43</v>
      </c>
      <c r="J13" s="0" t="n">
        <v>366.43</v>
      </c>
      <c r="K13" s="0" t="n">
        <v>366.43</v>
      </c>
      <c r="L13" s="0" t="n">
        <v>366.43</v>
      </c>
      <c r="M13" s="0" t="n">
        <v>366.43</v>
      </c>
      <c r="N13" s="0" t="n">
        <v>366.43</v>
      </c>
      <c r="O13" s="0" t="n">
        <v>366.43</v>
      </c>
      <c r="P13" s="0" t="n">
        <v>366.43</v>
      </c>
      <c r="Q13" s="0" t="n">
        <v>366.43</v>
      </c>
      <c r="R13" s="0" t="n">
        <v>366.43</v>
      </c>
      <c r="S13" s="0" t="n">
        <v>366.43</v>
      </c>
    </row>
    <row r="14" customFormat="false" ht="14.25" hidden="false" customHeight="false" outlineLevel="0" collapsed="false">
      <c r="A14" s="9"/>
      <c r="B14" s="10" t="s">
        <v>17</v>
      </c>
      <c r="C14" s="0" t="n">
        <v>45</v>
      </c>
      <c r="D14" s="0" t="n">
        <v>47</v>
      </c>
      <c r="E14" s="0" t="n">
        <v>51</v>
      </c>
      <c r="F14" s="0" t="n">
        <v>45</v>
      </c>
      <c r="G14" s="0" t="n">
        <v>40</v>
      </c>
      <c r="H14" s="0" t="n">
        <v>37</v>
      </c>
      <c r="I14" s="0" t="n">
        <v>38</v>
      </c>
      <c r="J14" s="0" t="n">
        <v>39</v>
      </c>
      <c r="K14" s="0" t="n">
        <v>36.5</v>
      </c>
      <c r="L14" s="0" t="n">
        <v>35.5</v>
      </c>
      <c r="M14" s="0" t="n">
        <v>30.5</v>
      </c>
      <c r="N14" s="0" t="n">
        <v>20</v>
      </c>
      <c r="O14" s="0" t="n">
        <v>22</v>
      </c>
      <c r="P14" s="0" t="n">
        <v>16</v>
      </c>
      <c r="Q14" s="0" t="n">
        <v>4.5</v>
      </c>
      <c r="R14" s="0" t="n">
        <v>3</v>
      </c>
      <c r="S14" s="0" t="n">
        <v>10</v>
      </c>
    </row>
    <row r="15" s="13" customFormat="true" ht="14.25" hidden="false" customHeight="false" outlineLevel="0" collapsed="false">
      <c r="A15" s="11"/>
      <c r="B15" s="12" t="s">
        <v>18</v>
      </c>
    </row>
    <row r="16" customFormat="false" ht="14.25" hidden="false" customHeight="false" outlineLevel="0" collapsed="false">
      <c r="B16" s="4" t="s">
        <v>19</v>
      </c>
      <c r="C16" s="0" t="n">
        <f aca="false">-C6*COS(RADIANS(C10-2.83))*C13/1000</f>
        <v>-9.95207522928387</v>
      </c>
      <c r="D16" s="0" t="n">
        <f aca="false">-D6*COS(RADIANS(D10-2.83))*D13/1000</f>
        <v>-8.30977619039763</v>
      </c>
      <c r="E16" s="0" t="n">
        <f aca="false">-E6*COS(RADIANS(E10-2.83))*E13/1000</f>
        <v>-6.93720854057483</v>
      </c>
      <c r="F16" s="0" t="n">
        <f aca="false">-F6*COS(RADIANS(F10-2.83))*F13/1000</f>
        <v>-5.83121108031111</v>
      </c>
      <c r="G16" s="0" t="n">
        <f aca="false">-G6*COS(RADIANS(G10-2.83))*G13/1000</f>
        <v>-4.65281690825859</v>
      </c>
      <c r="H16" s="0" t="n">
        <f aca="false">-H6*COS(RADIANS(H10-2.83))*H13/1000</f>
        <v>-3.59431747162643</v>
      </c>
      <c r="I16" s="0" t="n">
        <f aca="false">-I6*COS(RADIANS(I10-2.83))*I13/1000</f>
        <v>-3.57545445251131</v>
      </c>
      <c r="J16" s="0" t="n">
        <f aca="false">-J6*COS(RADIANS(J10-2.83))*J13/1000</f>
        <v>-3.02655147671413</v>
      </c>
      <c r="K16" s="0" t="n">
        <f aca="false">-K6*COS(RADIANS(K10-2.83))*K13/1000</f>
        <v>-2.19976772857905</v>
      </c>
      <c r="L16" s="0" t="n">
        <f aca="false">-L6*COS(RADIANS(L10-2.83))*L13/1000</f>
        <v>-0.922103338983219</v>
      </c>
      <c r="M16" s="0" t="n">
        <f aca="false">-M6*COS(RADIANS(M10-2.83))*M13/1000</f>
        <v>-5.68069777081493</v>
      </c>
      <c r="N16" s="0" t="n">
        <f aca="false">-N6*COS(RADIANS(N10-2.83))*N13/1000</f>
        <v>-4.03925983527539</v>
      </c>
      <c r="O16" s="0" t="n">
        <f aca="false">-O6*COS(RADIANS(O10-2.83))*O13/1000</f>
        <v>-3.25137833996944</v>
      </c>
      <c r="P16" s="0" t="n">
        <f aca="false">-P6*COS(RADIANS(P10-2.83))*P13/1000</f>
        <v>-1.32635790172592</v>
      </c>
      <c r="Q16" s="0" t="n">
        <f aca="false">-Q6*COS(RADIANS(Q10-2.83))*Q13/1000</f>
        <v>-0.705989473206212</v>
      </c>
      <c r="R16" s="0" t="n">
        <f aca="false">-R6*COS(RADIANS(R10-2.83))*R13/1000</f>
        <v>-1.8262081615387</v>
      </c>
      <c r="S16" s="0" t="n">
        <f aca="false">-S6*COS(RADIANS(S10-2.83))*S13/1000</f>
        <v>-1.09371531298861</v>
      </c>
    </row>
    <row r="17" customFormat="false" ht="14.25" hidden="false" customHeight="false" outlineLevel="0" collapsed="false">
      <c r="B17" s="1" t="s">
        <v>24</v>
      </c>
      <c r="C17" s="0" t="n">
        <v>-8.84322291179594</v>
      </c>
      <c r="D17" s="0" t="n">
        <v>-7.38771014573315</v>
      </c>
      <c r="E17" s="0" t="n">
        <v>-6.12295907061857</v>
      </c>
      <c r="F17" s="0" t="n">
        <v>-5.11416855627929</v>
      </c>
      <c r="G17" s="0" t="n">
        <v>-4.00577506118469</v>
      </c>
      <c r="H17" s="0" t="n">
        <v>-3.08271954812317</v>
      </c>
      <c r="I17" s="0" t="n">
        <v>-3.04251451225018</v>
      </c>
      <c r="J17" s="0" t="n">
        <v>-2.5938436656752</v>
      </c>
      <c r="K17" s="0" t="n">
        <v>-1.86178531541841</v>
      </c>
      <c r="L17" s="0" t="n">
        <v>-0.774849368079027</v>
      </c>
      <c r="M17" s="0" t="n">
        <v>-4.65440909149842</v>
      </c>
      <c r="N17" s="0" t="n">
        <v>-3.19703540259264</v>
      </c>
      <c r="O17" s="0" t="n">
        <v>-2.57966382173969</v>
      </c>
      <c r="P17" s="0" t="n">
        <v>-0.959098909344151</v>
      </c>
      <c r="Q17" s="0" t="n">
        <v>-0.4995724173393</v>
      </c>
      <c r="R17" s="0" t="n">
        <v>-1.33299525437727</v>
      </c>
      <c r="S17" s="0" t="n">
        <v>-0.772724305518311</v>
      </c>
    </row>
    <row r="18" customFormat="false" ht="14.25" hidden="false" customHeight="false" outlineLevel="0" collapsed="false">
      <c r="J18" s="0" t="s">
        <v>41</v>
      </c>
    </row>
    <row r="19" customFormat="false" ht="14.25" hidden="false" customHeight="false" outlineLevel="0" collapsed="false">
      <c r="M19" s="0" t="s">
        <v>42</v>
      </c>
    </row>
    <row r="20" customFormat="false" ht="14.25" hidden="false" customHeight="false" outlineLevel="0" collapsed="false">
      <c r="R20" s="0" t="s">
        <v>43</v>
      </c>
    </row>
    <row r="21" customFormat="false" ht="14.25" hidden="false" customHeight="false" outlineLevel="0" collapsed="false">
      <c r="B21" s="1" t="s">
        <v>23</v>
      </c>
      <c r="C21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9" min="8" style="0" width="13.44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1" t="s">
        <v>39</v>
      </c>
    </row>
    <row r="2" customFormat="false" ht="14.25" hidden="false" customHeight="false" outlineLevel="0" collapsed="false">
      <c r="A2" s="1" t="s">
        <v>1</v>
      </c>
      <c r="C2" s="0" t="n">
        <v>390</v>
      </c>
      <c r="E2" s="22" t="s">
        <v>44</v>
      </c>
      <c r="F2" s="23"/>
      <c r="G2" s="0" t="s">
        <v>45</v>
      </c>
    </row>
    <row r="3" customFormat="false" ht="14.25" hidden="false" customHeight="false" outlineLevel="0" collapsed="false">
      <c r="B3" s="1" t="s">
        <v>2</v>
      </c>
      <c r="C3" s="0" t="n">
        <f aca="false">C2*(1-0.25)</f>
        <v>292.5</v>
      </c>
      <c r="D3" s="14" t="s">
        <v>36</v>
      </c>
      <c r="E3" s="24" t="n">
        <v>289</v>
      </c>
      <c r="F3" s="25" t="n">
        <f aca="false">(C2-E3)/C2</f>
        <v>0.258974358974359</v>
      </c>
      <c r="G3" s="0" t="n">
        <v>290</v>
      </c>
      <c r="H3" s="0" t="n">
        <f aca="false">(C2-G3)/C2</f>
        <v>0.256410256410256</v>
      </c>
      <c r="M3" s="0" t="n">
        <f aca="false">1-369.5/423</f>
        <v>0.126477541371158</v>
      </c>
    </row>
    <row r="4" customFormat="false" ht="14.25" hidden="false" customHeight="false" outlineLevel="0" collapsed="false">
      <c r="B4" s="1" t="s">
        <v>37</v>
      </c>
      <c r="C4" s="0" t="n">
        <v>17</v>
      </c>
      <c r="D4" s="0" t="s">
        <v>36</v>
      </c>
      <c r="I4" s="0" t="s">
        <v>4</v>
      </c>
      <c r="M4" s="0" t="s">
        <v>5</v>
      </c>
      <c r="R4" s="0" t="s">
        <v>40</v>
      </c>
    </row>
    <row r="5" s="2" customFormat="true" ht="14.25" hidden="false" customHeight="false" outlineLevel="0" collapsed="false">
      <c r="B5" s="3" t="s">
        <v>6</v>
      </c>
      <c r="C5" s="2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>
        <v>6</v>
      </c>
      <c r="I5" s="2" t="n">
        <v>7</v>
      </c>
      <c r="J5" s="2" t="n">
        <v>8</v>
      </c>
      <c r="K5" s="2" t="n">
        <v>9</v>
      </c>
      <c r="L5" s="2" t="n">
        <v>10</v>
      </c>
      <c r="M5" s="2" t="n">
        <v>11</v>
      </c>
      <c r="N5" s="2" t="n">
        <v>12</v>
      </c>
      <c r="O5" s="2" t="n">
        <v>13</v>
      </c>
      <c r="P5" s="2" t="n">
        <v>14</v>
      </c>
      <c r="Q5" s="2" t="n">
        <v>15</v>
      </c>
      <c r="R5" s="2" t="n">
        <v>16</v>
      </c>
      <c r="S5" s="2" t="n">
        <v>17</v>
      </c>
    </row>
    <row r="6" customFormat="false" ht="14.25" hidden="false" customHeight="false" outlineLevel="0" collapsed="false">
      <c r="B6" s="4" t="s">
        <v>7</v>
      </c>
      <c r="C6" s="0" t="n">
        <v>18</v>
      </c>
      <c r="D6" s="0" t="n">
        <v>37</v>
      </c>
      <c r="E6" s="0" t="n">
        <v>18.5</v>
      </c>
      <c r="F6" s="0" t="n">
        <v>32</v>
      </c>
      <c r="G6" s="0" t="n">
        <v>44</v>
      </c>
      <c r="H6" s="0" t="n">
        <v>53</v>
      </c>
      <c r="I6" s="0" t="n">
        <v>61</v>
      </c>
    </row>
    <row r="7" customFormat="false" ht="14.25" hidden="false" customHeight="false" outlineLevel="0" collapsed="false">
      <c r="B7" s="5" t="s">
        <v>8</v>
      </c>
      <c r="C7" s="0" t="n">
        <v>-124</v>
      </c>
      <c r="D7" s="0" t="n">
        <v>-98.5</v>
      </c>
      <c r="E7" s="0" t="n">
        <v>-118.5</v>
      </c>
      <c r="F7" s="0" t="n">
        <v>-111</v>
      </c>
      <c r="G7" s="0" t="n">
        <v>-90</v>
      </c>
      <c r="H7" s="0" t="n">
        <v>-75</v>
      </c>
      <c r="I7" s="0" t="n">
        <v>-64</v>
      </c>
    </row>
    <row r="8" customFormat="false" ht="14.25" hidden="false" customHeight="false" outlineLevel="0" collapsed="false">
      <c r="B8" s="7" t="s">
        <v>38</v>
      </c>
      <c r="C8" s="0" t="n">
        <v>610</v>
      </c>
      <c r="D8" s="0" t="n">
        <v>609</v>
      </c>
      <c r="E8" s="0" t="n">
        <v>608.75</v>
      </c>
      <c r="F8" s="0" t="n">
        <v>608</v>
      </c>
      <c r="G8" s="0" t="n">
        <v>608</v>
      </c>
      <c r="H8" s="0" t="n">
        <v>608</v>
      </c>
      <c r="I8" s="0" t="n">
        <v>606.5</v>
      </c>
    </row>
    <row r="9" s="8" customFormat="true" ht="14.25" hidden="false" customHeight="false" outlineLevel="0" collapsed="false">
      <c r="A9" s="6" t="s">
        <v>9</v>
      </c>
      <c r="B9" s="7" t="s">
        <v>10</v>
      </c>
    </row>
    <row r="10" customFormat="false" ht="14.25" hidden="false" customHeight="false" outlineLevel="0" collapsed="false">
      <c r="A10" s="9"/>
      <c r="B10" s="10" t="s">
        <v>11</v>
      </c>
      <c r="C10" s="0" t="n">
        <v>29</v>
      </c>
      <c r="D10" s="0" t="n">
        <v>31</v>
      </c>
      <c r="E10" s="0" t="n">
        <v>31</v>
      </c>
      <c r="F10" s="0" t="n">
        <v>27</v>
      </c>
      <c r="G10" s="0" t="n">
        <v>28</v>
      </c>
      <c r="H10" s="0" t="n">
        <v>24</v>
      </c>
      <c r="I10" s="0" t="n">
        <v>20</v>
      </c>
    </row>
    <row r="11" s="8" customFormat="true" ht="14.25" hidden="false" customHeight="false" outlineLevel="0" collapsed="false">
      <c r="A11" s="9"/>
      <c r="B11" s="10" t="s">
        <v>12</v>
      </c>
      <c r="C11" s="8" t="n">
        <v>330</v>
      </c>
      <c r="D11" s="8" t="n">
        <v>331</v>
      </c>
      <c r="E11" s="8" t="n">
        <v>328</v>
      </c>
      <c r="F11" s="8" t="n">
        <v>330</v>
      </c>
      <c r="G11" s="8" t="n">
        <v>333</v>
      </c>
      <c r="H11" s="8" t="n">
        <v>337</v>
      </c>
      <c r="R11" s="13"/>
      <c r="S11" s="13"/>
      <c r="T11" s="13"/>
      <c r="U11" s="13"/>
    </row>
    <row r="12" customFormat="false" ht="14.25" hidden="false" customHeight="false" outlineLevel="0" collapsed="false">
      <c r="A12" s="6" t="s">
        <v>14</v>
      </c>
      <c r="B12" s="7" t="s">
        <v>15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14.25" hidden="false" customHeight="false" outlineLevel="0" collapsed="false">
      <c r="A13" s="9"/>
      <c r="B13" s="10" t="s">
        <v>16</v>
      </c>
      <c r="C13" s="0" t="n">
        <v>350</v>
      </c>
      <c r="D13" s="0" t="n">
        <v>350</v>
      </c>
      <c r="E13" s="0" t="n">
        <v>350</v>
      </c>
      <c r="F13" s="0" t="n">
        <v>350</v>
      </c>
      <c r="G13" s="0" t="n">
        <v>350</v>
      </c>
      <c r="H13" s="0" t="n">
        <v>350</v>
      </c>
      <c r="I13" s="0" t="n">
        <v>350</v>
      </c>
      <c r="J13" s="0" t="n">
        <v>350</v>
      </c>
      <c r="K13" s="0" t="n">
        <v>350</v>
      </c>
      <c r="L13" s="0" t="n">
        <v>350</v>
      </c>
      <c r="M13" s="0" t="n">
        <v>350</v>
      </c>
      <c r="N13" s="0" t="n">
        <v>350</v>
      </c>
      <c r="O13" s="0" t="n">
        <v>350</v>
      </c>
      <c r="P13" s="0" t="n">
        <v>350</v>
      </c>
      <c r="Q13" s="0" t="n">
        <v>350</v>
      </c>
      <c r="R13" s="0" t="n">
        <v>350</v>
      </c>
    </row>
    <row r="14" customFormat="false" ht="14.25" hidden="false" customHeight="false" outlineLevel="0" collapsed="false">
      <c r="A14" s="9"/>
      <c r="B14" s="10" t="s">
        <v>17</v>
      </c>
      <c r="C14" s="0" t="n">
        <v>10</v>
      </c>
      <c r="D14" s="0" t="n">
        <v>25</v>
      </c>
      <c r="E14" s="0" t="n">
        <v>15</v>
      </c>
      <c r="F14" s="0" t="n">
        <v>20</v>
      </c>
      <c r="G14" s="0" t="n">
        <v>25</v>
      </c>
      <c r="H14" s="0" t="n">
        <v>25</v>
      </c>
    </row>
    <row r="15" s="13" customFormat="true" ht="14.25" hidden="false" customHeight="false" outlineLevel="0" collapsed="false">
      <c r="A15" s="11"/>
      <c r="B15" s="12" t="s">
        <v>18</v>
      </c>
    </row>
    <row r="16" customFormat="false" ht="14.25" hidden="false" customHeight="false" outlineLevel="0" collapsed="false">
      <c r="B16" s="4" t="s">
        <v>19</v>
      </c>
      <c r="C16" s="0" t="n">
        <f aca="false">-C6*COS(RADIANS(C10-2.83))*C13/1000</f>
        <v>-5.65418333713887</v>
      </c>
      <c r="D16" s="0" t="n">
        <f aca="false">-D6*COS(RADIANS(D10-2.83))*D13/1000</f>
        <v>-11.4160823193169</v>
      </c>
      <c r="E16" s="0" t="n">
        <f aca="false">-E6*COS(RADIANS(E10-2.83))*E13/1000</f>
        <v>-5.70804115965846</v>
      </c>
      <c r="F16" s="0" t="n">
        <f aca="false">-F6*COS(RADIANS(F10-2.83))*F13/1000</f>
        <v>-10.2181478148918</v>
      </c>
      <c r="G16" s="0" t="n">
        <f aca="false">-G6*COS(RADIANS(G10-2.83))*G13/1000</f>
        <v>-13.9377679354735</v>
      </c>
      <c r="H16" s="0" t="n">
        <f aca="false">-H6*COS(RADIANS(H10-2.83))*H13/1000</f>
        <v>-17.2981165133584</v>
      </c>
      <c r="I16" s="0" t="n">
        <f aca="false">-I6*COS(RADIANS(I10-2.83))*I13/1000</f>
        <v>-20.3984959065943</v>
      </c>
      <c r="J16" s="0" t="n">
        <f aca="false">-J6*COS(RADIANS(J10-2.83))*J13/1000</f>
        <v>-0</v>
      </c>
      <c r="K16" s="0" t="n">
        <f aca="false">-K6*COS(RADIANS(K10-2.83))*K13/1000</f>
        <v>-0</v>
      </c>
      <c r="L16" s="0" t="n">
        <f aca="false">-L6*COS(RADIANS(L10-2.83))*L13/1000</f>
        <v>-0</v>
      </c>
      <c r="M16" s="0" t="n">
        <f aca="false">-M6*COS(RADIANS(M10-2.83))*M13/1000</f>
        <v>-0</v>
      </c>
      <c r="N16" s="0" t="n">
        <f aca="false">-N6*COS(RADIANS(N10-2.83))*N13/1000</f>
        <v>-0</v>
      </c>
      <c r="O16" s="0" t="n">
        <f aca="false">-O6*COS(RADIANS(O10-2.83))*O13/1000</f>
        <v>-0</v>
      </c>
      <c r="P16" s="0" t="n">
        <f aca="false">-P6*COS(RADIANS(P10-2.83))*P13/1000</f>
        <v>-0</v>
      </c>
      <c r="Q16" s="0" t="n">
        <f aca="false">-Q6*COS(RADIANS(Q10-2.83))*Q13/1000</f>
        <v>-0</v>
      </c>
      <c r="R16" s="0" t="n">
        <f aca="false">-R6*COS(RADIANS(R10-2.83))*R13/1000</f>
        <v>-0</v>
      </c>
      <c r="S16" s="0" t="n">
        <f aca="false">-S6*COS(RADIANS(S10-2.83))*S13/1000</f>
        <v>-0</v>
      </c>
    </row>
    <row r="17" customFormat="false" ht="14.25" hidden="false" customHeight="false" outlineLevel="0" collapsed="false">
      <c r="B17" s="1" t="s">
        <v>24</v>
      </c>
    </row>
    <row r="21" customFormat="false" ht="14.25" hidden="false" customHeight="false" outlineLevel="0" collapsed="false">
      <c r="B21" s="1" t="s">
        <v>23</v>
      </c>
      <c r="C21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9" min="8" style="0" width="13.44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1" t="s">
        <v>39</v>
      </c>
    </row>
    <row r="2" customFormat="false" ht="14.25" hidden="false" customHeight="false" outlineLevel="0" collapsed="false">
      <c r="A2" s="1" t="s">
        <v>1</v>
      </c>
      <c r="C2" s="0" t="n">
        <v>390</v>
      </c>
      <c r="E2" s="22" t="s">
        <v>44</v>
      </c>
      <c r="F2" s="23"/>
      <c r="G2" s="0" t="s">
        <v>45</v>
      </c>
    </row>
    <row r="3" customFormat="false" ht="14.25" hidden="false" customHeight="false" outlineLevel="0" collapsed="false">
      <c r="B3" s="1" t="s">
        <v>2</v>
      </c>
      <c r="C3" s="0" t="n">
        <f aca="false">C2*(1-0.25)</f>
        <v>292.5</v>
      </c>
      <c r="D3" s="14" t="s">
        <v>36</v>
      </c>
      <c r="E3" s="24" t="n">
        <v>289</v>
      </c>
      <c r="F3" s="25" t="n">
        <f aca="false">(C2-E3)/C2</f>
        <v>0.258974358974359</v>
      </c>
      <c r="G3" s="0" t="n">
        <v>290</v>
      </c>
      <c r="H3" s="0" t="n">
        <f aca="false">(C2-G3)/C2</f>
        <v>0.256410256410256</v>
      </c>
      <c r="M3" s="0" t="n">
        <f aca="false">1-369.5/423</f>
        <v>0.126477541371158</v>
      </c>
    </row>
    <row r="4" customFormat="false" ht="14.25" hidden="false" customHeight="false" outlineLevel="0" collapsed="false">
      <c r="B4" s="1" t="s">
        <v>37</v>
      </c>
      <c r="C4" s="0" t="n">
        <v>25</v>
      </c>
      <c r="D4" s="0" t="s">
        <v>36</v>
      </c>
      <c r="G4" s="0" t="s">
        <v>4</v>
      </c>
    </row>
    <row r="5" s="2" customFormat="true" ht="14.25" hidden="false" customHeight="false" outlineLevel="0" collapsed="false">
      <c r="B5" s="3" t="s">
        <v>6</v>
      </c>
      <c r="C5" s="2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>
        <v>6</v>
      </c>
      <c r="I5" s="2" t="n">
        <v>7</v>
      </c>
      <c r="J5" s="2" t="n">
        <v>8</v>
      </c>
      <c r="K5" s="2" t="n">
        <v>9</v>
      </c>
      <c r="L5" s="2" t="n">
        <v>10</v>
      </c>
      <c r="M5" s="2" t="n">
        <v>11</v>
      </c>
      <c r="N5" s="2" t="n">
        <v>12</v>
      </c>
      <c r="O5" s="2" t="n">
        <v>13</v>
      </c>
      <c r="P5" s="2" t="n">
        <v>14</v>
      </c>
      <c r="Q5" s="2" t="n">
        <v>15</v>
      </c>
      <c r="R5" s="2" t="n">
        <v>16</v>
      </c>
      <c r="S5" s="2" t="n">
        <v>17</v>
      </c>
    </row>
    <row r="6" customFormat="false" ht="14.25" hidden="false" customHeight="false" outlineLevel="0" collapsed="false">
      <c r="B6" s="4" t="s">
        <v>7</v>
      </c>
      <c r="C6" s="0" t="n">
        <v>10.6</v>
      </c>
      <c r="D6" s="0" t="n">
        <v>28.6</v>
      </c>
      <c r="E6" s="0" t="n">
        <v>36.9</v>
      </c>
      <c r="F6" s="0" t="n">
        <v>50.45</v>
      </c>
    </row>
    <row r="7" customFormat="false" ht="14.25" hidden="false" customHeight="false" outlineLevel="0" collapsed="false">
      <c r="B7" s="5" t="s">
        <v>8</v>
      </c>
      <c r="C7" s="0" t="n">
        <v>-125</v>
      </c>
      <c r="D7" s="0" t="n">
        <v>-112</v>
      </c>
      <c r="E7" s="0" t="n">
        <v>-91.5</v>
      </c>
      <c r="F7" s="0" t="n">
        <v>-75</v>
      </c>
    </row>
    <row r="8" customFormat="false" ht="14.25" hidden="false" customHeight="false" outlineLevel="0" collapsed="false">
      <c r="B8" s="7" t="s">
        <v>38</v>
      </c>
      <c r="C8" s="0" t="n">
        <v>608</v>
      </c>
      <c r="D8" s="0" t="n">
        <v>610</v>
      </c>
      <c r="E8" s="0" t="n">
        <v>610</v>
      </c>
      <c r="F8" s="0" t="n">
        <v>608</v>
      </c>
    </row>
    <row r="9" s="8" customFormat="true" ht="14.25" hidden="false" customHeight="false" outlineLevel="0" collapsed="false">
      <c r="A9" s="6" t="s">
        <v>9</v>
      </c>
      <c r="B9" s="7" t="s">
        <v>10</v>
      </c>
    </row>
    <row r="10" customFormat="false" ht="14.25" hidden="false" customHeight="false" outlineLevel="0" collapsed="false">
      <c r="A10" s="9"/>
      <c r="B10" s="10" t="s">
        <v>11</v>
      </c>
      <c r="C10" s="0" t="n">
        <v>33</v>
      </c>
      <c r="D10" s="0" t="n">
        <v>31.5</v>
      </c>
      <c r="E10" s="0" t="n">
        <v>30</v>
      </c>
      <c r="F10" s="0" t="n">
        <v>26.5</v>
      </c>
    </row>
    <row r="11" s="8" customFormat="true" ht="14.25" hidden="false" customHeight="false" outlineLevel="0" collapsed="false">
      <c r="A11" s="9"/>
      <c r="B11" s="10" t="s">
        <v>12</v>
      </c>
      <c r="C11" s="8" t="n">
        <v>325</v>
      </c>
      <c r="D11" s="8" t="n">
        <v>327</v>
      </c>
      <c r="E11" s="8" t="n">
        <v>332</v>
      </c>
      <c r="F11" s="8" t="n">
        <v>335</v>
      </c>
      <c r="R11" s="13"/>
      <c r="S11" s="13"/>
      <c r="T11" s="13"/>
      <c r="U11" s="13"/>
    </row>
    <row r="12" customFormat="false" ht="14.25" hidden="false" customHeight="false" outlineLevel="0" collapsed="false">
      <c r="A12" s="6" t="s">
        <v>14</v>
      </c>
      <c r="B12" s="7" t="s">
        <v>15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14.25" hidden="false" customHeight="false" outlineLevel="0" collapsed="false">
      <c r="A13" s="9"/>
      <c r="B13" s="10" t="s">
        <v>16</v>
      </c>
      <c r="C13" s="0" t="n">
        <v>350</v>
      </c>
      <c r="D13" s="0" t="n">
        <v>350</v>
      </c>
      <c r="E13" s="0" t="n">
        <v>350</v>
      </c>
      <c r="F13" s="0" t="n">
        <v>350</v>
      </c>
      <c r="G13" s="0" t="n">
        <v>350</v>
      </c>
      <c r="H13" s="0" t="n">
        <v>350</v>
      </c>
      <c r="I13" s="0" t="n">
        <v>350</v>
      </c>
      <c r="J13" s="0" t="n">
        <v>350</v>
      </c>
      <c r="K13" s="0" t="n">
        <v>350</v>
      </c>
      <c r="L13" s="0" t="n">
        <v>350</v>
      </c>
      <c r="M13" s="0" t="n">
        <v>350</v>
      </c>
      <c r="N13" s="0" t="n">
        <v>350</v>
      </c>
      <c r="O13" s="0" t="n">
        <v>350</v>
      </c>
      <c r="P13" s="0" t="n">
        <v>350</v>
      </c>
      <c r="Q13" s="0" t="n">
        <v>350</v>
      </c>
      <c r="R13" s="0" t="n">
        <v>350</v>
      </c>
    </row>
    <row r="14" customFormat="false" ht="14.25" hidden="false" customHeight="false" outlineLevel="0" collapsed="false">
      <c r="A14" s="9"/>
      <c r="B14" s="10" t="s">
        <v>17</v>
      </c>
      <c r="C14" s="0" t="n">
        <v>10</v>
      </c>
      <c r="D14" s="0" t="n">
        <v>15</v>
      </c>
      <c r="E14" s="0" t="n">
        <v>25</v>
      </c>
      <c r="F14" s="0" t="n">
        <v>25</v>
      </c>
    </row>
    <row r="15" s="13" customFormat="true" ht="14.25" hidden="false" customHeight="false" outlineLevel="0" collapsed="false">
      <c r="A15" s="11"/>
      <c r="B15" s="12" t="s">
        <v>18</v>
      </c>
    </row>
    <row r="16" customFormat="false" ht="14.25" hidden="false" customHeight="false" outlineLevel="0" collapsed="false">
      <c r="B16" s="4" t="s">
        <v>19</v>
      </c>
      <c r="C16" s="0" t="n">
        <f aca="false">-C6*COS(RADIANS(C10-2.83))*C13/1000</f>
        <v>-3.20743621779953</v>
      </c>
      <c r="D16" s="0" t="n">
        <f aca="false">-D6*COS(RADIANS(D10-2.83))*D13/1000</f>
        <v>-8.78274885379969</v>
      </c>
      <c r="E16" s="0" t="n">
        <f aca="false">-E6*COS(RADIANS(E10-2.83))*E13/1000</f>
        <v>-11.4899019096699</v>
      </c>
      <c r="F16" s="0" t="n">
        <f aca="false">-F6*COS(RADIANS(F10-2.83))*F13/1000</f>
        <v>-16.172026211621</v>
      </c>
      <c r="G16" s="0" t="n">
        <f aca="false">-G6*COS(RADIANS(G10-2.83))*G13/1000</f>
        <v>-0</v>
      </c>
      <c r="H16" s="0" t="n">
        <f aca="false">-H6*COS(RADIANS(H10-2.83))*H13/1000</f>
        <v>-0</v>
      </c>
      <c r="I16" s="0" t="n">
        <f aca="false">-I6*COS(RADIANS(I10-2.83))*I13/1000</f>
        <v>-0</v>
      </c>
      <c r="J16" s="0" t="n">
        <f aca="false">-J6*COS(RADIANS(J10-2.83))*J13/1000</f>
        <v>-0</v>
      </c>
      <c r="K16" s="0" t="n">
        <f aca="false">-K6*COS(RADIANS(K10-2.83))*K13/1000</f>
        <v>-0</v>
      </c>
      <c r="L16" s="0" t="n">
        <f aca="false">-L6*COS(RADIANS(L10-2.83))*L13/1000</f>
        <v>-0</v>
      </c>
      <c r="M16" s="0" t="n">
        <f aca="false">-M6*COS(RADIANS(M10-2.83))*M13/1000</f>
        <v>-0</v>
      </c>
      <c r="N16" s="0" t="n">
        <f aca="false">-N6*COS(RADIANS(N10-2.83))*N13/1000</f>
        <v>-0</v>
      </c>
      <c r="O16" s="0" t="n">
        <f aca="false">-O6*COS(RADIANS(O10-2.83))*O13/1000</f>
        <v>-0</v>
      </c>
      <c r="P16" s="0" t="n">
        <f aca="false">-P6*COS(RADIANS(P10-2.83))*P13/1000</f>
        <v>-0</v>
      </c>
      <c r="Q16" s="0" t="n">
        <f aca="false">-Q6*COS(RADIANS(Q10-2.83))*Q13/1000</f>
        <v>-0</v>
      </c>
      <c r="R16" s="0" t="n">
        <f aca="false">-R6*COS(RADIANS(R10-2.83))*R13/1000</f>
        <v>-0</v>
      </c>
      <c r="S16" s="0" t="n">
        <f aca="false">-S6*COS(RADIANS(S10-2.83))*S13/1000</f>
        <v>-0</v>
      </c>
    </row>
    <row r="17" customFormat="false" ht="14.25" hidden="false" customHeight="false" outlineLevel="0" collapsed="false">
      <c r="B17" s="1" t="s">
        <v>24</v>
      </c>
      <c r="G17" s="0" t="s">
        <v>46</v>
      </c>
    </row>
    <row r="21" customFormat="false" ht="14.25" hidden="false" customHeight="false" outlineLevel="0" collapsed="false">
      <c r="B21" s="1" t="s">
        <v>23</v>
      </c>
      <c r="C21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5" activeCellId="0" sqref="N35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9" min="8" style="0" width="13.44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1" t="s">
        <v>39</v>
      </c>
    </row>
    <row r="2" customFormat="false" ht="14.25" hidden="false" customHeight="false" outlineLevel="0" collapsed="false">
      <c r="A2" s="1" t="s">
        <v>1</v>
      </c>
      <c r="C2" s="0" t="n">
        <v>420</v>
      </c>
      <c r="E2" s="22" t="s">
        <v>44</v>
      </c>
      <c r="F2" s="23"/>
      <c r="G2" s="0" t="s">
        <v>45</v>
      </c>
    </row>
    <row r="3" customFormat="false" ht="14.25" hidden="false" customHeight="false" outlineLevel="0" collapsed="false">
      <c r="B3" s="1" t="s">
        <v>2</v>
      </c>
      <c r="C3" s="0" t="n">
        <f aca="false">C2*(1-0.25)</f>
        <v>315</v>
      </c>
      <c r="D3" s="14" t="s">
        <v>36</v>
      </c>
      <c r="E3" s="24"/>
      <c r="F3" s="25" t="n">
        <f aca="false">(C2-E3)/C2</f>
        <v>1</v>
      </c>
      <c r="H3" s="0" t="n">
        <f aca="false">(C2-G3)/C2</f>
        <v>1</v>
      </c>
    </row>
    <row r="4" customFormat="false" ht="14.25" hidden="false" customHeight="false" outlineLevel="0" collapsed="false">
      <c r="B4" s="1" t="s">
        <v>37</v>
      </c>
      <c r="C4" s="0" t="n">
        <v>15</v>
      </c>
      <c r="D4" s="0" t="s">
        <v>36</v>
      </c>
    </row>
    <row r="5" s="2" customFormat="true" ht="14.25" hidden="false" customHeight="false" outlineLevel="0" collapsed="false">
      <c r="B5" s="3" t="s">
        <v>6</v>
      </c>
      <c r="C5" s="2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>
        <v>6</v>
      </c>
      <c r="I5" s="2" t="n">
        <v>7</v>
      </c>
      <c r="J5" s="2" t="n">
        <v>8</v>
      </c>
      <c r="K5" s="2" t="n">
        <v>9</v>
      </c>
      <c r="L5" s="2" t="n">
        <v>10</v>
      </c>
      <c r="M5" s="2" t="n">
        <v>11</v>
      </c>
      <c r="N5" s="2" t="n">
        <v>12</v>
      </c>
      <c r="O5" s="2" t="n">
        <v>13</v>
      </c>
      <c r="P5" s="2" t="n">
        <v>14</v>
      </c>
      <c r="Q5" s="2" t="n">
        <v>15</v>
      </c>
      <c r="R5" s="2" t="n">
        <v>16</v>
      </c>
      <c r="S5" s="2" t="n">
        <v>17</v>
      </c>
    </row>
    <row r="6" customFormat="false" ht="14.25" hidden="false" customHeight="false" outlineLevel="0" collapsed="false">
      <c r="B6" s="4" t="s">
        <v>7</v>
      </c>
      <c r="C6" s="0" t="n">
        <v>5.3</v>
      </c>
      <c r="D6" s="0" t="n">
        <v>19.83</v>
      </c>
      <c r="E6" s="0" t="n">
        <v>31.35</v>
      </c>
      <c r="F6" s="0" t="n">
        <v>44.78</v>
      </c>
      <c r="G6" s="0" t="n">
        <v>56.1</v>
      </c>
      <c r="H6" s="0" t="n">
        <v>68.12</v>
      </c>
      <c r="I6" s="0" t="n">
        <v>74.9</v>
      </c>
      <c r="J6" s="0" t="n">
        <v>78.14</v>
      </c>
    </row>
    <row r="7" customFormat="false" ht="14.25" hidden="false" customHeight="false" outlineLevel="0" collapsed="false">
      <c r="B7" s="5" t="s">
        <v>8</v>
      </c>
      <c r="C7" s="0" t="n">
        <v>-125</v>
      </c>
      <c r="D7" s="0" t="n">
        <v>-112</v>
      </c>
      <c r="E7" s="0" t="n">
        <v>-93</v>
      </c>
      <c r="F7" s="0" t="n">
        <v>-80</v>
      </c>
      <c r="G7" s="0" t="n">
        <v>-75</v>
      </c>
      <c r="H7" s="0" t="n">
        <v>-52</v>
      </c>
      <c r="I7" s="0" t="n">
        <v>-42</v>
      </c>
      <c r="J7" s="0" t="n">
        <v>-32</v>
      </c>
    </row>
    <row r="8" customFormat="false" ht="14.25" hidden="false" customHeight="false" outlineLevel="0" collapsed="false">
      <c r="B8" s="7" t="s">
        <v>38</v>
      </c>
      <c r="C8" s="0" t="n">
        <v>614</v>
      </c>
      <c r="D8" s="0" t="n">
        <v>613.57</v>
      </c>
      <c r="E8" s="0" t="n">
        <v>613.57</v>
      </c>
      <c r="F8" s="0" t="n">
        <v>618</v>
      </c>
      <c r="G8" s="0" t="n">
        <v>617</v>
      </c>
      <c r="H8" s="0" t="n">
        <v>615</v>
      </c>
      <c r="I8" s="0" t="n">
        <v>618</v>
      </c>
      <c r="J8" s="0" t="n">
        <v>620</v>
      </c>
    </row>
    <row r="9" s="8" customFormat="true" ht="14.25" hidden="false" customHeight="false" outlineLevel="0" collapsed="false">
      <c r="A9" s="6" t="s">
        <v>9</v>
      </c>
      <c r="B9" s="7" t="s">
        <v>10</v>
      </c>
    </row>
    <row r="10" customFormat="false" ht="14.25" hidden="false" customHeight="false" outlineLevel="0" collapsed="false">
      <c r="A10" s="9"/>
      <c r="B10" s="10" t="s">
        <v>11</v>
      </c>
      <c r="C10" s="0" t="n">
        <v>35</v>
      </c>
      <c r="D10" s="0" t="n">
        <v>32.5</v>
      </c>
      <c r="E10" s="0" t="n">
        <v>26.5</v>
      </c>
      <c r="F10" s="0" t="n">
        <v>25.5</v>
      </c>
      <c r="G10" s="0" t="n">
        <v>22</v>
      </c>
      <c r="H10" s="0" t="n">
        <v>22</v>
      </c>
      <c r="I10" s="0" t="n">
        <v>16</v>
      </c>
      <c r="J10" s="0" t="n">
        <v>12</v>
      </c>
    </row>
    <row r="11" s="8" customFormat="true" ht="14.25" hidden="false" customHeight="false" outlineLevel="0" collapsed="false">
      <c r="A11" s="9"/>
      <c r="B11" s="10" t="s">
        <v>12</v>
      </c>
      <c r="C11" s="8" t="n">
        <v>330</v>
      </c>
      <c r="D11" s="8" t="n">
        <v>335</v>
      </c>
      <c r="E11" s="8" t="n">
        <v>339</v>
      </c>
      <c r="F11" s="8" t="n">
        <v>345</v>
      </c>
      <c r="G11" s="8" t="n">
        <v>350</v>
      </c>
      <c r="H11" s="8" t="n">
        <v>355</v>
      </c>
      <c r="I11" s="8" t="n">
        <v>357</v>
      </c>
      <c r="J11" s="8" t="n">
        <v>360</v>
      </c>
      <c r="R11" s="13"/>
      <c r="S11" s="13"/>
      <c r="T11" s="13"/>
      <c r="U11" s="13"/>
    </row>
    <row r="12" customFormat="false" ht="14.25" hidden="false" customHeight="false" outlineLevel="0" collapsed="false">
      <c r="A12" s="6" t="s">
        <v>14</v>
      </c>
      <c r="B12" s="7" t="s">
        <v>15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14.25" hidden="false" customHeight="false" outlineLevel="0" collapsed="false">
      <c r="A13" s="9"/>
      <c r="B13" s="10" t="s">
        <v>16</v>
      </c>
      <c r="C13" s="0" t="n">
        <v>350</v>
      </c>
      <c r="D13" s="0" t="n">
        <v>350</v>
      </c>
      <c r="E13" s="0" t="n">
        <v>350</v>
      </c>
      <c r="F13" s="0" t="n">
        <v>350</v>
      </c>
      <c r="G13" s="0" t="n">
        <v>350</v>
      </c>
      <c r="H13" s="0" t="n">
        <v>350</v>
      </c>
      <c r="I13" s="0" t="n">
        <v>350</v>
      </c>
      <c r="J13" s="0" t="n">
        <v>350</v>
      </c>
      <c r="K13" s="0" t="n">
        <v>350</v>
      </c>
      <c r="L13" s="0" t="n">
        <v>350</v>
      </c>
      <c r="M13" s="0" t="n">
        <v>350</v>
      </c>
      <c r="N13" s="0" t="n">
        <v>350</v>
      </c>
      <c r="O13" s="0" t="n">
        <v>350</v>
      </c>
      <c r="P13" s="0" t="n">
        <v>350</v>
      </c>
      <c r="Q13" s="0" t="n">
        <v>350</v>
      </c>
      <c r="R13" s="0" t="n">
        <v>350</v>
      </c>
    </row>
    <row r="14" customFormat="false" ht="14.25" hidden="false" customHeight="false" outlineLevel="0" collapsed="false">
      <c r="A14" s="9"/>
      <c r="B14" s="10" t="s">
        <v>17</v>
      </c>
      <c r="C14" s="0" t="n">
        <v>20</v>
      </c>
      <c r="D14" s="0" t="n">
        <v>25</v>
      </c>
      <c r="E14" s="0" t="n">
        <v>30</v>
      </c>
      <c r="F14" s="0" t="n">
        <v>37</v>
      </c>
      <c r="G14" s="0" t="n">
        <v>40</v>
      </c>
      <c r="H14" s="0" t="n">
        <v>45</v>
      </c>
      <c r="I14" s="0" t="n">
        <v>45</v>
      </c>
      <c r="J14" s="0" t="n">
        <v>45</v>
      </c>
    </row>
    <row r="15" s="13" customFormat="true" ht="14.25" hidden="false" customHeight="false" outlineLevel="0" collapsed="false">
      <c r="A15" s="11"/>
      <c r="B15" s="12" t="s">
        <v>18</v>
      </c>
    </row>
    <row r="16" customFormat="false" ht="14.25" hidden="false" customHeight="false" outlineLevel="0" collapsed="false">
      <c r="B16" s="4" t="s">
        <v>19</v>
      </c>
      <c r="C16" s="0" t="n">
        <f aca="false">-C6*COS(RADIANS(C10-2.83))*C13/1000</f>
        <v>-1.57020567776687</v>
      </c>
      <c r="D16" s="0" t="n">
        <f aca="false">-D6*COS(RADIANS(D10-2.83))*D13/1000</f>
        <v>-6.03053671475247</v>
      </c>
      <c r="E16" s="0" t="n">
        <f aca="false">-E6*COS(RADIANS(E10-2.83))*E13/1000</f>
        <v>-10.0494156934453</v>
      </c>
      <c r="F16" s="0" t="n">
        <f aca="false">-F6*COS(RADIANS(F10-2.83))*F13/1000</f>
        <v>-14.4621043792055</v>
      </c>
      <c r="G16" s="0" t="n">
        <f aca="false">-G6*COS(RADIANS(G10-2.83))*G13/1000</f>
        <v>-18.5462085202454</v>
      </c>
      <c r="H16" s="0" t="n">
        <f aca="false">-H6*COS(RADIANS(H10-2.83))*H13/1000</f>
        <v>-22.5199237860806</v>
      </c>
      <c r="I16" s="0" t="n">
        <f aca="false">-I6*COS(RADIANS(I10-2.83))*I13/1000</f>
        <v>-25.525501816572</v>
      </c>
      <c r="J16" s="0" t="n">
        <f aca="false">-J6*COS(RADIANS(J10-2.83))*J13/1000</f>
        <v>-26.9994754957457</v>
      </c>
      <c r="K16" s="0" t="n">
        <f aca="false">-K6*COS(RADIANS(K10-2.83))*K13/1000</f>
        <v>-0</v>
      </c>
      <c r="L16" s="0" t="n">
        <f aca="false">-L6*COS(RADIANS(L10-2.83))*L13/1000</f>
        <v>-0</v>
      </c>
      <c r="M16" s="0" t="n">
        <f aca="false">-M6*COS(RADIANS(M10-2.83))*M13/1000</f>
        <v>-0</v>
      </c>
      <c r="N16" s="0" t="n">
        <f aca="false">-N6*COS(RADIANS(N10-2.83))*N13/1000</f>
        <v>-0</v>
      </c>
      <c r="O16" s="0" t="n">
        <f aca="false">-O6*COS(RADIANS(O10-2.83))*O13/1000</f>
        <v>-0</v>
      </c>
      <c r="P16" s="0" t="n">
        <f aca="false">-P6*COS(RADIANS(P10-2.83))*P13/1000</f>
        <v>-0</v>
      </c>
      <c r="Q16" s="0" t="n">
        <f aca="false">-Q6*COS(RADIANS(Q10-2.83))*Q13/1000</f>
        <v>-0</v>
      </c>
      <c r="R16" s="0" t="n">
        <f aca="false">-R6*COS(RADIANS(R10-2.83))*R13/1000</f>
        <v>-0</v>
      </c>
      <c r="S16" s="0" t="n">
        <f aca="false">-S6*COS(RADIANS(S10-2.83))*S13/1000</f>
        <v>-0</v>
      </c>
    </row>
    <row r="17" customFormat="false" ht="14.25" hidden="false" customHeight="false" outlineLevel="0" collapsed="false">
      <c r="B17" s="1" t="s">
        <v>24</v>
      </c>
      <c r="C17" s="0" t="n">
        <v>-1.5952</v>
      </c>
      <c r="D17" s="0" t="n">
        <v>-6.0761</v>
      </c>
      <c r="E17" s="0" t="n">
        <v>-10.0058</v>
      </c>
      <c r="F17" s="0" t="n">
        <v>-14.3527</v>
      </c>
      <c r="G17" s="0" t="n">
        <v>-18.339</v>
      </c>
      <c r="H17" s="0" t="n">
        <v>-22.1908</v>
      </c>
    </row>
    <row r="21" customFormat="false" ht="14.25" hidden="false" customHeight="false" outlineLevel="0" collapsed="false">
      <c r="B21" s="1" t="s">
        <v>23</v>
      </c>
      <c r="C21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9" min="8" style="0" width="13.44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1" t="s">
        <v>39</v>
      </c>
    </row>
    <row r="2" customFormat="false" ht="14.25" hidden="false" customHeight="false" outlineLevel="0" collapsed="false">
      <c r="A2" s="1" t="s">
        <v>1</v>
      </c>
      <c r="C2" s="0" t="n">
        <v>415</v>
      </c>
      <c r="E2" s="22" t="s">
        <v>44</v>
      </c>
      <c r="F2" s="23"/>
      <c r="G2" s="0" t="s">
        <v>45</v>
      </c>
    </row>
    <row r="3" customFormat="false" ht="14.25" hidden="false" customHeight="false" outlineLevel="0" collapsed="false">
      <c r="B3" s="1" t="s">
        <v>2</v>
      </c>
      <c r="C3" s="0" t="n">
        <v>314</v>
      </c>
      <c r="D3" s="14" t="s">
        <v>36</v>
      </c>
      <c r="E3" s="24"/>
      <c r="F3" s="25" t="n">
        <f aca="false">(C2-E3)/C2</f>
        <v>1</v>
      </c>
      <c r="H3" s="0" t="n">
        <f aca="false">(C2-G3)/C2</f>
        <v>1</v>
      </c>
      <c r="U3" s="0" t="s">
        <v>4</v>
      </c>
      <c r="V3" s="0" t="s">
        <v>5</v>
      </c>
    </row>
    <row r="4" customFormat="false" ht="15" hidden="false" customHeight="true" outlineLevel="0" collapsed="false">
      <c r="B4" s="1" t="s">
        <v>37</v>
      </c>
      <c r="C4" s="0" t="n">
        <v>14</v>
      </c>
      <c r="D4" s="0" t="s">
        <v>36</v>
      </c>
      <c r="K4" s="0" t="s">
        <v>4</v>
      </c>
      <c r="U4" s="0" t="s">
        <v>5</v>
      </c>
      <c r="V4" s="0" t="s">
        <v>40</v>
      </c>
    </row>
    <row r="5" s="28" customFormat="true" ht="15" hidden="false" customHeight="true" outlineLevel="0" collapsed="false">
      <c r="A5" s="26"/>
      <c r="B5" s="15" t="s">
        <v>6</v>
      </c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  <c r="H5" s="16" t="n">
        <v>6</v>
      </c>
      <c r="I5" s="16" t="n">
        <v>7</v>
      </c>
      <c r="J5" s="16" t="n">
        <v>8</v>
      </c>
      <c r="K5" s="27" t="n">
        <v>9</v>
      </c>
      <c r="L5" s="27" t="n">
        <v>10</v>
      </c>
      <c r="M5" s="27" t="n">
        <v>11</v>
      </c>
      <c r="N5" s="27" t="n">
        <v>12</v>
      </c>
      <c r="O5" s="27" t="n">
        <v>13</v>
      </c>
      <c r="P5" s="27" t="n">
        <v>14</v>
      </c>
      <c r="Q5" s="27" t="n">
        <v>15</v>
      </c>
      <c r="R5" s="27" t="n">
        <v>16</v>
      </c>
      <c r="S5" s="27" t="n">
        <v>17</v>
      </c>
      <c r="T5" s="27" t="n">
        <v>18</v>
      </c>
      <c r="U5" s="16" t="n">
        <v>19</v>
      </c>
      <c r="V5" s="16" t="n">
        <v>20</v>
      </c>
      <c r="W5" s="16" t="n">
        <v>21</v>
      </c>
      <c r="X5" s="16" t="n">
        <v>22</v>
      </c>
      <c r="Y5" s="28" t="n">
        <v>23</v>
      </c>
      <c r="Z5" s="28" t="n">
        <v>23</v>
      </c>
      <c r="AA5" s="28" t="n">
        <v>23</v>
      </c>
      <c r="AB5" s="28" t="n">
        <v>23</v>
      </c>
      <c r="AC5" s="28" t="n">
        <v>23</v>
      </c>
      <c r="AD5" s="28" t="n">
        <v>23</v>
      </c>
    </row>
    <row r="6" customFormat="false" ht="14.25" hidden="false" customHeight="false" outlineLevel="0" collapsed="false">
      <c r="B6" s="11" t="s">
        <v>7</v>
      </c>
      <c r="C6" s="17" t="n">
        <v>18.5</v>
      </c>
      <c r="D6" s="17" t="n">
        <v>18.05</v>
      </c>
      <c r="E6" s="17" t="n">
        <v>32</v>
      </c>
      <c r="F6" s="17" t="n">
        <v>40.97</v>
      </c>
      <c r="G6" s="17" t="n">
        <v>44.4</v>
      </c>
      <c r="H6" s="17" t="n">
        <v>50.84</v>
      </c>
      <c r="I6" s="17" t="n">
        <v>62.45</v>
      </c>
      <c r="J6" s="17" t="n">
        <v>69.4</v>
      </c>
      <c r="K6" s="29" t="n">
        <v>91.7</v>
      </c>
      <c r="L6" s="29" t="n">
        <v>114.1</v>
      </c>
      <c r="M6" s="29" t="n">
        <v>129.8</v>
      </c>
      <c r="N6" s="29" t="n">
        <v>78</v>
      </c>
      <c r="O6" s="29" t="n">
        <v>92.78</v>
      </c>
      <c r="P6" s="29" t="n">
        <v>63.6</v>
      </c>
      <c r="Q6" s="29" t="n">
        <v>97.28</v>
      </c>
      <c r="R6" s="29" t="n">
        <v>71.92</v>
      </c>
      <c r="S6" s="29" t="n">
        <v>84.5</v>
      </c>
      <c r="T6" s="29" t="n">
        <v>93.9</v>
      </c>
      <c r="U6" s="17" t="n">
        <v>64.3</v>
      </c>
      <c r="V6" s="17" t="n">
        <v>70.6</v>
      </c>
      <c r="W6" s="17" t="n">
        <v>90.15</v>
      </c>
      <c r="X6" s="17" t="n">
        <v>70</v>
      </c>
    </row>
    <row r="7" customFormat="false" ht="14.25" hidden="false" customHeight="false" outlineLevel="0" collapsed="false">
      <c r="B7" s="6" t="s">
        <v>8</v>
      </c>
      <c r="C7" s="18" t="n">
        <v>-125</v>
      </c>
      <c r="D7" s="18" t="n">
        <v>-114</v>
      </c>
      <c r="E7" s="18" t="n">
        <v>-98</v>
      </c>
      <c r="F7" s="18" t="n">
        <v>-83</v>
      </c>
      <c r="G7" s="18" t="n">
        <v>-75.5</v>
      </c>
      <c r="H7" s="18" t="n">
        <v>-69</v>
      </c>
      <c r="I7" s="18" t="n">
        <v>-55.5</v>
      </c>
      <c r="J7" s="18" t="n">
        <v>-53.001</v>
      </c>
      <c r="K7" s="30" t="n">
        <v>-53.01</v>
      </c>
      <c r="L7" s="30" t="n">
        <v>-41</v>
      </c>
      <c r="M7" s="30" t="n">
        <v>-30</v>
      </c>
      <c r="N7" s="30" t="n">
        <v>-26.01</v>
      </c>
      <c r="O7" s="30" t="n">
        <v>-26.001</v>
      </c>
      <c r="P7" s="30" t="n">
        <v>-18.5</v>
      </c>
      <c r="Q7" s="30" t="n">
        <v>-18</v>
      </c>
      <c r="R7" s="30" t="n">
        <v>-7</v>
      </c>
      <c r="S7" s="30" t="n">
        <v>-9</v>
      </c>
      <c r="T7" s="30" t="n">
        <v>0</v>
      </c>
      <c r="U7" s="18" t="n">
        <v>3</v>
      </c>
      <c r="V7" s="18" t="n">
        <v>7.7</v>
      </c>
      <c r="W7" s="18" t="n">
        <v>-6.5</v>
      </c>
      <c r="X7" s="18" t="n">
        <v>-32</v>
      </c>
    </row>
    <row r="8" s="32" customFormat="true" ht="15" hidden="false" customHeight="true" outlineLevel="0" collapsed="false">
      <c r="A8" s="21"/>
      <c r="B8" s="19" t="s">
        <v>38</v>
      </c>
      <c r="C8" s="20" t="n">
        <v>613</v>
      </c>
      <c r="D8" s="20" t="n">
        <v>614</v>
      </c>
      <c r="E8" s="20" t="n">
        <v>614</v>
      </c>
      <c r="F8" s="20" t="n">
        <v>615</v>
      </c>
      <c r="G8" s="20" t="n">
        <v>615</v>
      </c>
      <c r="H8" s="20" t="n">
        <v>615</v>
      </c>
      <c r="I8" s="20" t="n">
        <v>618</v>
      </c>
      <c r="J8" s="20" t="n">
        <v>618</v>
      </c>
      <c r="K8" s="31" t="n">
        <v>620</v>
      </c>
      <c r="L8" s="31" t="n">
        <v>620</v>
      </c>
      <c r="M8" s="31" t="n">
        <v>620</v>
      </c>
      <c r="N8" s="31" t="n">
        <v>385</v>
      </c>
      <c r="O8" s="31" t="n">
        <v>451</v>
      </c>
      <c r="P8" s="31" t="n">
        <v>296.6</v>
      </c>
      <c r="Q8" s="31" t="n">
        <v>421</v>
      </c>
      <c r="R8" s="31" t="n">
        <v>281</v>
      </c>
      <c r="S8" s="31" t="n">
        <v>324.8</v>
      </c>
      <c r="T8" s="31" t="n">
        <v>325.58</v>
      </c>
      <c r="U8" s="20" t="n">
        <v>325.58</v>
      </c>
      <c r="V8" s="20" t="n">
        <v>325</v>
      </c>
      <c r="W8" s="20" t="n">
        <v>500</v>
      </c>
      <c r="X8" s="20" t="n">
        <v>560</v>
      </c>
    </row>
    <row r="9" customFormat="false" ht="14.25" hidden="false" customHeight="false" outlineLevel="0" collapsed="false">
      <c r="A9" s="9" t="s">
        <v>9</v>
      </c>
      <c r="B9" s="1" t="s">
        <v>10</v>
      </c>
      <c r="C9" s="17"/>
      <c r="D9" s="17"/>
      <c r="E9" s="17"/>
      <c r="F9" s="17"/>
      <c r="G9" s="17"/>
      <c r="H9" s="17"/>
      <c r="I9" s="17"/>
      <c r="J9" s="17"/>
      <c r="K9" s="29"/>
      <c r="L9" s="29"/>
      <c r="M9" s="29"/>
      <c r="N9" s="29"/>
      <c r="O9" s="29"/>
      <c r="P9" s="29"/>
      <c r="Q9" s="29"/>
      <c r="R9" s="29"/>
      <c r="S9" s="29"/>
      <c r="T9" s="29"/>
      <c r="U9" s="17"/>
      <c r="V9" s="17"/>
      <c r="W9" s="17"/>
      <c r="X9" s="17"/>
    </row>
    <row r="10" customFormat="false" ht="14.25" hidden="false" customHeight="false" outlineLevel="0" collapsed="false">
      <c r="A10" s="9"/>
      <c r="B10" s="1" t="s">
        <v>11</v>
      </c>
      <c r="C10" s="18" t="n">
        <v>32.5</v>
      </c>
      <c r="D10" s="18" t="n">
        <v>30</v>
      </c>
      <c r="E10" s="18" t="n">
        <v>28</v>
      </c>
      <c r="F10" s="18" t="n">
        <v>26</v>
      </c>
      <c r="G10" s="18" t="n">
        <v>24.5</v>
      </c>
      <c r="H10" s="18" t="n">
        <v>17</v>
      </c>
      <c r="I10" s="18" t="n">
        <v>20</v>
      </c>
      <c r="J10" s="18" t="n">
        <v>24</v>
      </c>
      <c r="K10" s="30" t="n">
        <v>-5</v>
      </c>
      <c r="L10" s="30" t="n">
        <v>-7</v>
      </c>
      <c r="M10" s="30" t="n">
        <v>-12</v>
      </c>
      <c r="N10" s="30" t="n">
        <v>-12</v>
      </c>
      <c r="O10" s="30" t="n">
        <v>-12</v>
      </c>
      <c r="P10" s="30" t="n">
        <v>-16.5</v>
      </c>
      <c r="Q10" s="30" t="n">
        <v>-15</v>
      </c>
      <c r="R10" s="30" t="n">
        <v>-19.5</v>
      </c>
      <c r="S10" s="30" t="n">
        <v>-15</v>
      </c>
      <c r="T10" s="30" t="n">
        <v>-17</v>
      </c>
      <c r="U10" s="18" t="n">
        <v>7</v>
      </c>
      <c r="V10" s="18" t="n">
        <v>5.5</v>
      </c>
      <c r="W10" s="18" t="n">
        <v>10</v>
      </c>
      <c r="X10" s="18" t="n">
        <v>13.5</v>
      </c>
    </row>
    <row r="11" s="34" customFormat="true" ht="15" hidden="false" customHeight="true" outlineLevel="0" collapsed="false">
      <c r="A11" s="33"/>
      <c r="B11" s="21" t="s">
        <v>12</v>
      </c>
      <c r="C11" s="20" t="n">
        <v>334</v>
      </c>
      <c r="D11" s="20" t="n">
        <v>334</v>
      </c>
      <c r="E11" s="20" t="n">
        <v>338</v>
      </c>
      <c r="F11" s="20" t="n">
        <v>343</v>
      </c>
      <c r="G11" s="20" t="s">
        <v>47</v>
      </c>
      <c r="H11" s="20" t="n">
        <v>348</v>
      </c>
      <c r="I11" s="20" t="n">
        <v>356</v>
      </c>
      <c r="J11" s="20" t="n">
        <v>356</v>
      </c>
      <c r="K11" s="31" t="n">
        <v>357</v>
      </c>
      <c r="L11" s="31" t="n">
        <v>365</v>
      </c>
      <c r="M11" s="31" t="n">
        <v>368</v>
      </c>
      <c r="N11" s="31" t="n">
        <v>381</v>
      </c>
      <c r="O11" s="31" t="n">
        <v>377</v>
      </c>
      <c r="P11" s="31" t="n">
        <v>387</v>
      </c>
      <c r="Q11" s="31" t="n">
        <v>385</v>
      </c>
      <c r="R11" s="31" t="n">
        <v>396</v>
      </c>
      <c r="S11" s="31" t="n">
        <v>392</v>
      </c>
      <c r="T11" s="31" t="n">
        <v>397</v>
      </c>
      <c r="U11" s="20" t="n">
        <v>398</v>
      </c>
      <c r="V11" s="20" t="n">
        <v>401</v>
      </c>
      <c r="W11" s="20" t="n">
        <v>384</v>
      </c>
      <c r="X11" s="20" t="n">
        <v>367</v>
      </c>
    </row>
    <row r="12" customFormat="false" ht="14.25" hidden="false" customHeight="false" outlineLevel="0" collapsed="false">
      <c r="A12" s="9" t="s">
        <v>14</v>
      </c>
      <c r="B12" s="1" t="s">
        <v>15</v>
      </c>
      <c r="C12" s="17"/>
      <c r="D12" s="17"/>
      <c r="E12" s="17"/>
      <c r="F12" s="17"/>
      <c r="G12" s="17"/>
      <c r="H12" s="17"/>
      <c r="I12" s="17"/>
      <c r="J12" s="17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17"/>
      <c r="V12" s="17"/>
      <c r="W12" s="17"/>
      <c r="X12" s="17"/>
    </row>
    <row r="13" customFormat="false" ht="14.25" hidden="false" customHeight="false" outlineLevel="0" collapsed="false">
      <c r="A13" s="9"/>
      <c r="B13" s="1" t="s">
        <v>16</v>
      </c>
      <c r="C13" s="18" t="n">
        <v>350</v>
      </c>
      <c r="D13" s="18" t="n">
        <v>350</v>
      </c>
      <c r="E13" s="18" t="n">
        <v>350</v>
      </c>
      <c r="F13" s="18" t="n">
        <v>350</v>
      </c>
      <c r="G13" s="18" t="n">
        <v>350</v>
      </c>
      <c r="H13" s="18" t="n">
        <v>350</v>
      </c>
      <c r="I13" s="18" t="n">
        <v>350</v>
      </c>
      <c r="J13" s="18" t="n">
        <v>350</v>
      </c>
      <c r="K13" s="30" t="n">
        <v>255</v>
      </c>
      <c r="L13" s="30" t="n">
        <v>255</v>
      </c>
      <c r="M13" s="30" t="n">
        <v>255</v>
      </c>
      <c r="N13" s="30" t="n">
        <v>255</v>
      </c>
      <c r="O13" s="30" t="n">
        <v>255</v>
      </c>
      <c r="P13" s="30" t="n">
        <v>255</v>
      </c>
      <c r="Q13" s="30" t="n">
        <v>255</v>
      </c>
      <c r="R13" s="30" t="n">
        <v>255</v>
      </c>
      <c r="S13" s="30" t="n">
        <v>255</v>
      </c>
      <c r="T13" s="30" t="n">
        <v>255</v>
      </c>
      <c r="U13" s="18" t="n">
        <v>350</v>
      </c>
      <c r="V13" s="18" t="n">
        <v>350</v>
      </c>
      <c r="W13" s="18" t="n">
        <v>350</v>
      </c>
      <c r="X13" s="18" t="n">
        <v>350</v>
      </c>
      <c r="Y13" s="0" t="n">
        <v>350</v>
      </c>
      <c r="Z13" s="0" t="n">
        <v>350</v>
      </c>
      <c r="AA13" s="0" t="n">
        <v>350</v>
      </c>
      <c r="AB13" s="0" t="n">
        <v>350</v>
      </c>
      <c r="AC13" s="0" t="n">
        <v>350</v>
      </c>
      <c r="AD13" s="0" t="n">
        <v>350</v>
      </c>
    </row>
    <row r="14" customFormat="false" ht="14.25" hidden="false" customHeight="false" outlineLevel="0" collapsed="false">
      <c r="A14" s="9"/>
      <c r="B14" s="1" t="s">
        <v>17</v>
      </c>
      <c r="C14" s="18" t="n">
        <v>25</v>
      </c>
      <c r="D14" s="18" t="n">
        <v>25</v>
      </c>
      <c r="E14" s="18" t="n">
        <v>35</v>
      </c>
      <c r="F14" s="18" t="n">
        <v>35</v>
      </c>
      <c r="G14" s="18" t="s">
        <v>47</v>
      </c>
      <c r="H14" s="18" t="n">
        <v>37</v>
      </c>
      <c r="I14" s="18" t="n">
        <v>40</v>
      </c>
      <c r="J14" s="18" t="n">
        <v>45</v>
      </c>
      <c r="K14" s="30" t="n">
        <v>48</v>
      </c>
      <c r="L14" s="30" t="n">
        <v>45</v>
      </c>
      <c r="M14" s="30" t="n">
        <v>40</v>
      </c>
      <c r="N14" s="30" t="n">
        <v>40</v>
      </c>
      <c r="O14" s="30" t="n">
        <v>40</v>
      </c>
      <c r="P14" s="30" t="n">
        <v>42</v>
      </c>
      <c r="Q14" s="30" t="n">
        <v>45</v>
      </c>
      <c r="R14" s="30" t="n">
        <v>46</v>
      </c>
      <c r="S14" s="30" t="n">
        <v>48</v>
      </c>
      <c r="T14" s="30" t="n">
        <v>48</v>
      </c>
      <c r="U14" s="18" t="n">
        <v>42</v>
      </c>
      <c r="V14" s="18" t="n">
        <v>43</v>
      </c>
      <c r="W14" s="18" t="n">
        <v>45</v>
      </c>
      <c r="X14" s="18" t="n">
        <v>38</v>
      </c>
    </row>
    <row r="15" s="32" customFormat="true" ht="15" hidden="false" customHeight="true" outlineLevel="0" collapsed="false">
      <c r="A15" s="33"/>
      <c r="B15" s="21" t="s">
        <v>18</v>
      </c>
      <c r="C15" s="20"/>
      <c r="D15" s="20"/>
      <c r="E15" s="20"/>
      <c r="F15" s="20"/>
      <c r="G15" s="20"/>
      <c r="H15" s="20"/>
      <c r="I15" s="20"/>
      <c r="J15" s="2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20"/>
      <c r="V15" s="20"/>
      <c r="W15" s="20"/>
      <c r="X15" s="20"/>
    </row>
    <row r="16" customFormat="false" ht="14.25" hidden="false" customHeight="false" outlineLevel="0" collapsed="false">
      <c r="B16" s="11" t="s">
        <v>19</v>
      </c>
      <c r="C16" s="17" t="n">
        <f aca="false">-C6*COS(RADIANS(C10-2.83))*C13/1000</f>
        <v>-5.62606803948163</v>
      </c>
      <c r="D16" s="17" t="n">
        <f aca="false">-D6*COS(RADIANS(D10-2.83))*D13/1000</f>
        <v>-5.6203991726163</v>
      </c>
      <c r="E16" s="17" t="n">
        <f aca="false">-E6*COS(RADIANS(E10-2.83))*E13/1000</f>
        <v>-10.1365584985262</v>
      </c>
      <c r="F16" s="17" t="n">
        <f aca="false">-F6*COS(RADIANS(F10-2.83))*F13/1000</f>
        <v>-13.1828971632755</v>
      </c>
      <c r="G16" s="17" t="n">
        <f aca="false">-G6*COS(RADIANS(G10-2.83))*G13/1000</f>
        <v>-14.4417267099468</v>
      </c>
      <c r="H16" s="17" t="n">
        <f aca="false">-H6*COS(RADIANS(H10-2.83))*H13/1000</f>
        <v>-17.2525936997532</v>
      </c>
      <c r="I16" s="17" t="n">
        <f aca="false">-I6*COS(RADIANS(I10-2.83))*I13/1000</f>
        <v>-20.8833781863412</v>
      </c>
      <c r="J16" s="17" t="n">
        <f aca="false">-J6*COS(RADIANS(J10-2.83))*J13/1000</f>
        <v>-22.6507412457938</v>
      </c>
      <c r="K16" s="29" t="n">
        <f aca="false">-K6*COS(RADIANS(K10-2.83))*K13/1000</f>
        <v>-23.1654873086584</v>
      </c>
      <c r="L16" s="29" t="n">
        <f aca="false">-L6*COS(RADIANS(L10-2.83))*L13/1000</f>
        <v>-28.6683385461178</v>
      </c>
      <c r="M16" s="29" t="n">
        <f aca="false">-M6*COS(RADIANS(M10-2.83))*M13/1000</f>
        <v>-31.9964559258105</v>
      </c>
      <c r="N16" s="29" t="n">
        <f aca="false">-N6*COS(RADIANS(N10-2.83))*N13/1000</f>
        <v>-19.2274542543391</v>
      </c>
      <c r="O16" s="29" t="n">
        <f aca="false">-O6*COS(RADIANS(O10-2.83))*O13/1000</f>
        <v>-22.8708103297126</v>
      </c>
      <c r="P16" s="29" t="n">
        <f aca="false">-P6*COS(RADIANS(P10-2.83))*P13/1000</f>
        <v>-15.3037550974019</v>
      </c>
      <c r="Q16" s="29" t="n">
        <f aca="false">-Q6*COS(RADIANS(Q10-2.83))*Q13/1000</f>
        <v>-23.61492877643</v>
      </c>
      <c r="R16" s="29" t="n">
        <f aca="false">-R6*COS(RADIANS(R10-2.83))*R13/1000</f>
        <v>-16.9643300628193</v>
      </c>
      <c r="S16" s="29" t="n">
        <f aca="false">-S6*COS(RADIANS(S10-2.83))*S13/1000</f>
        <v>-20.5125563487699</v>
      </c>
      <c r="T16" s="29" t="n">
        <f aca="false">-T6*COS(RADIANS(T10-2.83))*T13/1000</f>
        <v>-22.5246696215892</v>
      </c>
      <c r="U16" s="17" t="n">
        <f aca="false">-U6*COS(RADIANS(U10-2.83))*U13/1000</f>
        <v>-22.4454222421648</v>
      </c>
      <c r="V16" s="17" t="n">
        <f aca="false">-V6*COS(RADIANS(V10-2.83))*V13/1000</f>
        <v>-24.683174896032</v>
      </c>
      <c r="W16" s="17" t="n">
        <f aca="false">-W6*COS(RADIANS(W10-2.83))*W13/1000</f>
        <v>-31.3057654336849</v>
      </c>
      <c r="X16" s="17" t="n">
        <f aca="false">-X6*COS(RADIANS(X10-2.83))*X13/1000</f>
        <v>-24.076391978102</v>
      </c>
      <c r="Y16" s="0" t="n">
        <f aca="false">-Y6*COS(RADIANS(Y10-2.83))*Y13/1000</f>
        <v>-0</v>
      </c>
      <c r="Z16" s="0" t="n">
        <f aca="false">-Z6*COS(RADIANS(Z10-2.83))*Z13/1000</f>
        <v>-0</v>
      </c>
      <c r="AA16" s="0" t="n">
        <f aca="false">-AA6*COS(RADIANS(AA10-2.83))*AA13/1000</f>
        <v>-0</v>
      </c>
      <c r="AB16" s="0" t="n">
        <f aca="false">-AB6*COS(RADIANS(AB10-2.83))*AB13/1000</f>
        <v>-0</v>
      </c>
      <c r="AC16" s="0" t="n">
        <f aca="false">-AC6*COS(RADIANS(AC10-2.83))*AC13/1000</f>
        <v>-0</v>
      </c>
      <c r="AD16" s="0" t="n">
        <f aca="false">-AD6*COS(RADIANS(AD10-2.83))*AD13/1000</f>
        <v>-0</v>
      </c>
    </row>
    <row r="17" customFormat="false" ht="14.25" hidden="false" customHeight="false" outlineLevel="0" collapsed="false">
      <c r="B17" s="1" t="s">
        <v>24</v>
      </c>
      <c r="C17" s="18" t="n">
        <v>-5.6922</v>
      </c>
      <c r="D17" s="18" t="n">
        <v>-5.6461</v>
      </c>
      <c r="E17" s="18" t="n">
        <v>-10.119</v>
      </c>
      <c r="F17" s="18" t="n">
        <v>-13.0959</v>
      </c>
      <c r="G17" s="18" t="n">
        <v>-14.3096</v>
      </c>
      <c r="H17" s="18" t="n">
        <v>-16.9889</v>
      </c>
      <c r="I17" s="18" t="n">
        <v>-20.5703</v>
      </c>
      <c r="J17" s="18" t="n">
        <v>-22.3443</v>
      </c>
      <c r="K17" s="30" t="n">
        <v>-21.6006</v>
      </c>
      <c r="L17" s="30" t="n">
        <v>-26.7782</v>
      </c>
      <c r="M17" s="30" t="n">
        <v>-29.8989</v>
      </c>
      <c r="N17" s="30" t="n">
        <v>-17.9934</v>
      </c>
      <c r="O17" s="30" t="n">
        <v>-21.352</v>
      </c>
      <c r="P17" s="30" t="n">
        <v>-14.3414</v>
      </c>
      <c r="Q17" s="30" t="n">
        <v>-22.1444</v>
      </c>
      <c r="R17" s="30" t="n">
        <v>-15.9752</v>
      </c>
      <c r="S17" s="30" t="n">
        <v>-19.3052</v>
      </c>
      <c r="T17" s="30" t="n">
        <v>-21.282</v>
      </c>
      <c r="U17" s="18" t="n">
        <v>-21.9932</v>
      </c>
      <c r="V17" s="18" t="n">
        <v>-24.2025</v>
      </c>
      <c r="W17" s="18" t="n">
        <v>-30.6504</v>
      </c>
      <c r="X17" s="18" t="n">
        <v>-23.6068</v>
      </c>
    </row>
    <row r="18" customFormat="false" ht="14.25" hidden="false" customHeight="false" outlineLevel="0" collapsed="false">
      <c r="K18" s="0" t="s">
        <v>48</v>
      </c>
      <c r="U18" s="0" t="s">
        <v>49</v>
      </c>
    </row>
    <row r="19" customFormat="false" ht="14.25" hidden="false" customHeight="false" outlineLevel="0" collapsed="false">
      <c r="U19" s="0" t="s">
        <v>50</v>
      </c>
      <c r="V19" s="0" t="s">
        <v>51</v>
      </c>
    </row>
    <row r="20" customFormat="false" ht="14.25" hidden="false" customHeight="false" outlineLevel="0" collapsed="false">
      <c r="F20" s="0" t="s">
        <v>52</v>
      </c>
      <c r="V20" s="0" t="s">
        <v>53</v>
      </c>
    </row>
    <row r="21" customFormat="false" ht="14.25" hidden="false" customHeight="false" outlineLevel="0" collapsed="false">
      <c r="B21" s="1" t="s">
        <v>23</v>
      </c>
      <c r="C21" s="1" t="s">
        <v>24</v>
      </c>
      <c r="F21" s="0" t="n">
        <f aca="false">AVERAGE(C8:M8)</f>
        <v>616.545454545455</v>
      </c>
      <c r="V21" s="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.11"/>
    <col collapsed="false" customWidth="true" hidden="false" outlineLevel="0" max="2" min="2" style="0" width="25.11"/>
    <col collapsed="false" customWidth="true" hidden="false" outlineLevel="0" max="3" min="3" style="0" width="12.33"/>
    <col collapsed="false" customWidth="true" hidden="false" outlineLevel="0" max="5" min="5" style="0" width="8.67"/>
    <col collapsed="false" customWidth="true" hidden="false" outlineLevel="0" max="6" min="6" style="0" width="11.33"/>
    <col collapsed="false" customWidth="true" hidden="false" outlineLevel="0" max="7" min="7" style="0" width="13.34"/>
    <col collapsed="false" customWidth="true" hidden="false" outlineLevel="0" max="8" min="8" style="0" width="13.44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B3" s="1" t="s">
        <v>2</v>
      </c>
      <c r="D3" s="14" t="s">
        <v>36</v>
      </c>
    </row>
    <row r="4" customFormat="false" ht="15" hidden="false" customHeight="false" outlineLevel="0" collapsed="false">
      <c r="B4" s="1" t="s">
        <v>37</v>
      </c>
      <c r="D4" s="0" t="s">
        <v>36</v>
      </c>
    </row>
    <row r="5" customFormat="false" ht="15" hidden="false" customHeight="false" outlineLevel="0" collapsed="false">
      <c r="B5" s="15" t="s">
        <v>6</v>
      </c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  <c r="H5" s="16" t="n">
        <v>6</v>
      </c>
      <c r="I5" s="16" t="n">
        <v>7</v>
      </c>
      <c r="J5" s="16" t="n">
        <v>8</v>
      </c>
      <c r="K5" s="16" t="n">
        <v>9</v>
      </c>
      <c r="L5" s="16" t="n">
        <v>10</v>
      </c>
      <c r="M5" s="16" t="n">
        <v>11</v>
      </c>
      <c r="N5" s="16" t="n">
        <v>12</v>
      </c>
      <c r="O5" s="16" t="n">
        <v>13</v>
      </c>
      <c r="P5" s="16" t="n">
        <v>14</v>
      </c>
      <c r="Q5" s="16" t="n">
        <v>15</v>
      </c>
      <c r="R5" s="16" t="n">
        <v>16</v>
      </c>
      <c r="S5" s="16" t="n">
        <v>17</v>
      </c>
      <c r="T5" s="16" t="n">
        <v>18</v>
      </c>
      <c r="U5" s="16" t="n">
        <v>19</v>
      </c>
      <c r="V5" s="16" t="n">
        <v>20</v>
      </c>
      <c r="W5" s="16" t="n">
        <v>21</v>
      </c>
      <c r="X5" s="16" t="n">
        <v>22</v>
      </c>
    </row>
    <row r="6" customFormat="false" ht="15" hidden="false" customHeight="false" outlineLevel="0" collapsed="false">
      <c r="B6" s="11" t="s">
        <v>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customFormat="false" ht="15" hidden="false" customHeight="false" outlineLevel="0" collapsed="false">
      <c r="B7" s="6" t="s">
        <v>8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customFormat="false" ht="15" hidden="false" customHeight="false" outlineLevel="0" collapsed="false">
      <c r="B8" s="19" t="s">
        <v>38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customFormat="false" ht="15" hidden="false" customHeight="false" outlineLevel="0" collapsed="false">
      <c r="A9" s="9" t="s">
        <v>9</v>
      </c>
      <c r="B9" s="1" t="s">
        <v>10</v>
      </c>
    </row>
    <row r="10" customFormat="false" ht="15" hidden="false" customHeight="false" outlineLevel="0" collapsed="false">
      <c r="B10" s="1" t="s">
        <v>11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customFormat="false" ht="15" hidden="false" customHeight="false" outlineLevel="0" collapsed="false">
      <c r="B11" s="21" t="s">
        <v>12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customFormat="false" ht="15" hidden="false" customHeight="false" outlineLevel="0" collapsed="false">
      <c r="A12" s="9" t="s">
        <v>14</v>
      </c>
      <c r="B12" s="1" t="s">
        <v>15</v>
      </c>
    </row>
    <row r="13" customFormat="false" ht="15" hidden="false" customHeight="false" outlineLevel="0" collapsed="false">
      <c r="B13" s="1" t="s">
        <v>16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customFormat="false" ht="15" hidden="false" customHeight="false" outlineLevel="0" collapsed="false">
      <c r="B14" s="1" t="s">
        <v>17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customFormat="false" ht="15" hidden="false" customHeight="false" outlineLevel="0" collapsed="false">
      <c r="B15" s="21" t="s">
        <v>18</v>
      </c>
    </row>
    <row r="16" customFormat="false" ht="15" hidden="false" customHeight="false" outlineLevel="0" collapsed="false">
      <c r="B16" s="11" t="s">
        <v>19</v>
      </c>
      <c r="C16" s="17" t="n">
        <f aca="false">-C6*COS(RADIANS(C10-2.83))*C13/1000</f>
        <v>-0</v>
      </c>
      <c r="D16" s="17" t="n">
        <f aca="false">-D6*COS(RADIANS(D10-2.83))*D13/1000</f>
        <v>-0</v>
      </c>
      <c r="E16" s="17" t="n">
        <f aca="false">-E6*COS(RADIANS(E10-2.83))*E13/1000</f>
        <v>-0</v>
      </c>
      <c r="F16" s="17" t="n">
        <f aca="false">-F6*COS(RADIANS(F10-2.83))*F13/1000</f>
        <v>-0</v>
      </c>
      <c r="G16" s="17" t="n">
        <f aca="false">-G6*COS(RADIANS(G10-2.83))*G13/1000</f>
        <v>-0</v>
      </c>
      <c r="H16" s="17" t="n">
        <f aca="false">-H6*COS(RADIANS(H10-2.83))*H13/1000</f>
        <v>-0</v>
      </c>
      <c r="I16" s="17" t="n">
        <f aca="false">-I6*COS(RADIANS(I10-2.83))*I13/1000</f>
        <v>-0</v>
      </c>
      <c r="J16" s="17" t="n">
        <f aca="false">-J6*COS(RADIANS(J10-2.83))*J13/1000</f>
        <v>-0</v>
      </c>
      <c r="K16" s="17" t="n">
        <f aca="false">-K6*COS(RADIANS(K10-2.83))*K13/1000</f>
        <v>-0</v>
      </c>
      <c r="L16" s="17" t="n">
        <f aca="false">-L6*COS(RADIANS(L10-2.83))*L13/1000</f>
        <v>-0</v>
      </c>
      <c r="M16" s="17" t="n">
        <f aca="false">-M6*COS(RADIANS(M10-2.83))*M13/1000</f>
        <v>-0</v>
      </c>
      <c r="N16" s="17" t="n">
        <f aca="false">-N6*COS(RADIANS(N10-2.83))*N13/1000</f>
        <v>-0</v>
      </c>
      <c r="O16" s="17" t="n">
        <f aca="false">-O6*COS(RADIANS(O10-2.83))*O13/1000</f>
        <v>-0</v>
      </c>
      <c r="P16" s="17" t="n">
        <f aca="false">-P6*COS(RADIANS(P10-2.83))*P13/1000</f>
        <v>-0</v>
      </c>
      <c r="Q16" s="17" t="n">
        <f aca="false">-Q6*COS(RADIANS(Q10-2.83))*Q13/1000</f>
        <v>-0</v>
      </c>
      <c r="R16" s="17" t="n">
        <f aca="false">-R6*COS(RADIANS(R10-2.83))*R13/1000</f>
        <v>-0</v>
      </c>
      <c r="S16" s="17" t="n">
        <f aca="false">-S6*COS(RADIANS(S10-2.83))*S13/1000</f>
        <v>-0</v>
      </c>
      <c r="T16" s="17" t="n">
        <f aca="false">-T6*COS(RADIANS(T10-2.83))*T13/1000</f>
        <v>-0</v>
      </c>
      <c r="U16" s="17" t="n">
        <f aca="false">-U6*COS(RADIANS(U10-2.83))*U13/1000</f>
        <v>-0</v>
      </c>
      <c r="V16" s="17" t="n">
        <f aca="false">-V6*COS(RADIANS(V10-2.83))*V13/1000</f>
        <v>-0</v>
      </c>
      <c r="W16" s="17" t="n">
        <f aca="false">-W6*COS(RADIANS(W10-2.83))*W13/1000</f>
        <v>-0</v>
      </c>
      <c r="X16" s="17" t="n">
        <f aca="false">-X6*COS(RADIANS(X10-2.83))*X13/1000</f>
        <v>-0</v>
      </c>
    </row>
    <row r="17" customFormat="false" ht="15" hidden="false" customHeight="false" outlineLevel="0" collapsed="false">
      <c r="B17" s="1" t="s">
        <v>24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21" customFormat="false" ht="15" hidden="false" customHeight="false" outlineLevel="0" collapsed="false">
      <c r="B21" s="1" t="s">
        <v>23</v>
      </c>
      <c r="C21" s="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2021-05-24T00:23:13Z</dcterms:created>
  <dc:creator>Ben Bolen</dc:creator>
  <dc:description/>
  <dc:language>en-US</dc:language>
  <cp:lastModifiedBy>Ben Bolen</cp:lastModifiedBy>
  <dcterms:modified xsi:type="dcterms:W3CDTF">2026-10-02T11:45:16Z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