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Bipedal_Robot\Testing_Data\2026_06_Festo\"/>
    </mc:Choice>
  </mc:AlternateContent>
  <xr:revisionPtr revIDLastSave="0" documentId="13_ncr:1_{2FF60C62-5EE5-4E66-93DF-91FD720B36C7}" xr6:coauthVersionLast="47" xr6:coauthVersionMax="47" xr10:uidLastSave="{00000000-0000-0000-0000-000000000000}"/>
  <bookViews>
    <workbookView xWindow="2730" yWindow="2730" windowWidth="21600" windowHeight="11295" activeTab="3" xr2:uid="{00000000-000D-0000-FFFF-FFFF00000000}"/>
  </bookViews>
  <sheets>
    <sheet name="ExtTest40mm_1" sheetId="1" r:id="rId1"/>
    <sheet name="ExtTest40mm_2" sheetId="2" r:id="rId2"/>
    <sheet name="ExtTest20mm_1" sheetId="10" r:id="rId3"/>
    <sheet name="ExtTest20mm_2" sheetId="11" r:id="rId4"/>
    <sheet name="FlxTest20mm_42cm" sheetId="4" r:id="rId5"/>
    <sheet name="FlxTest20mm_39cm" sheetId="5" r:id="rId6"/>
    <sheet name="FlxTest20mm_39cm (2)" sheetId="6" r:id="rId7"/>
    <sheet name="FlxTest20mm_42cm (2)" sheetId="7" r:id="rId8"/>
    <sheet name="FlxTest20mm_42cm (3)" sheetId="8" r:id="rId9"/>
    <sheet name="FlxTest20mm_51cm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1" l="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C16" i="11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C17" i="2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F21" i="8"/>
  <c r="AD16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H3" i="8"/>
  <c r="F3" i="8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M3" i="6"/>
  <c r="H3" i="6"/>
  <c r="F3" i="6"/>
  <c r="C3" i="6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M3" i="5"/>
  <c r="H3" i="5"/>
  <c r="F3" i="5"/>
  <c r="C3" i="5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M3" i="4"/>
  <c r="F3" i="4"/>
  <c r="C3" i="4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2" i="2"/>
  <c r="C3" i="2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N3" i="1"/>
  <c r="I3" i="1"/>
  <c r="D3" i="1"/>
  <c r="C3" i="1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H3" i="7"/>
  <c r="F3" i="7"/>
  <c r="C3" i="7"/>
</calcChain>
</file>

<file path=xl/sharedStrings.xml><?xml version="1.0" encoding="utf-8"?>
<sst xmlns="http://schemas.openxmlformats.org/spreadsheetml/2006/main" count="297" uniqueCount="60">
  <si>
    <t>Flexor Test 20mm</t>
  </si>
  <si>
    <t>Resting muscle length</t>
  </si>
  <si>
    <t>"@" 620 kPa</t>
  </si>
  <si>
    <t>"@" 600 kPa</t>
  </si>
  <si>
    <t>expected max contract</t>
  </si>
  <si>
    <t>actual</t>
  </si>
  <si>
    <t>tendon length</t>
  </si>
  <si>
    <t>Test #</t>
  </si>
  <si>
    <t>Load (N)</t>
  </si>
  <si>
    <t>Knee angle</t>
  </si>
  <si>
    <t>Pressure (kPa</t>
  </si>
  <si>
    <t>Hand</t>
  </si>
  <si>
    <t>Load cell angle (real ICR)</t>
  </si>
  <si>
    <t>Load cell angle (tibia)</t>
  </si>
  <si>
    <t>muscle length</t>
  </si>
  <si>
    <t>MA</t>
  </si>
  <si>
    <t>ICR (spline)</t>
  </si>
  <si>
    <t>Tibia origin (matlab)</t>
  </si>
  <si>
    <t>ICR to muscle</t>
  </si>
  <si>
    <t>dl/dtheta</t>
  </si>
  <si>
    <t>Torque</t>
  </si>
  <si>
    <t>Torque actual</t>
  </si>
  <si>
    <t>Moment arm</t>
  </si>
  <si>
    <t>Extensor Test 40mm</t>
  </si>
  <si>
    <t>tendon</t>
  </si>
  <si>
    <t>*</t>
  </si>
  <si>
    <t>**</t>
  </si>
  <si>
    <t>% contraction</t>
  </si>
  <si>
    <t>*changed pressure from 100 kPa to 230 kPa</t>
  </si>
  <si>
    <t>**Increased pressure to 380 kPa</t>
  </si>
  <si>
    <t>Added pulley in system</t>
  </si>
  <si>
    <t>Vas_Pam insertion wrt arbitrary knee loc</t>
  </si>
  <si>
    <t>x</t>
  </si>
  <si>
    <t>y</t>
  </si>
  <si>
    <t>z</t>
  </si>
  <si>
    <t>Pressure (gauge)</t>
  </si>
  <si>
    <t>contraction</t>
  </si>
  <si>
    <t>Human Vas_int Torque</t>
  </si>
  <si>
    <t>*Leg assembly started breaking when load cell was reading 124 N of force</t>
  </si>
  <si>
    <t>distal</t>
  </si>
  <si>
    <t>proximal</t>
  </si>
  <si>
    <t>Extensor Test 20mm</t>
  </si>
  <si>
    <t>***</t>
  </si>
  <si>
    <t>*BPA Started to kink at 7</t>
  </si>
  <si>
    <t>**Pressure stepped up from 300kPa to 500kPa on test 11-15</t>
  </si>
  <si>
    <t>***Pressure stepped up from 500kPa to 620kPa on test 16</t>
  </si>
  <si>
    <t>*tibia ring broke</t>
  </si>
  <si>
    <t>NaN</t>
  </si>
  <si>
    <t>*Switched to shorter tibia</t>
  </si>
  <si>
    <t>*Switched back to long tibia</t>
  </si>
  <si>
    <t>** 22.4N pretension</t>
  </si>
  <si>
    <t>**27.6N pretension</t>
  </si>
  <si>
    <t>avg pres</t>
  </si>
  <si>
    <t>***411mm uninflated</t>
  </si>
  <si>
    <t>Max extension possible with current knee and test jig</t>
  </si>
  <si>
    <t>BPA#1</t>
  </si>
  <si>
    <t>BPA#2</t>
  </si>
  <si>
    <t>kmax</t>
  </si>
  <si>
    <t>Torque at t1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</si>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</sst>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FCAFF"/>
        <bgColor indexed="64"/>
      </patternFill>
    </fill>
    <fill>
      <patternFill patternType="solid">
        <fgColor rgb="FFCEBBDD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8" xfId="0" applyBorder="1"/>
    <xf numFmtId="0" fontId="0" fillId="0" borderId="10" xfId="0" applyBorder="1"/>
    <xf numFmtId="0" fontId="1" fillId="0" borderId="0" xfId="0" applyFont="1"/>
    <xf numFmtId="0" fontId="1" fillId="0" borderId="1" xfId="0" applyFont="1" applyBorder="1"/>
    <xf numFmtId="0" fontId="1" fillId="0" borderId="9" xfId="0" applyFont="1" applyBorder="1"/>
    <xf numFmtId="0" fontId="1" fillId="0" borderId="11" xfId="0" applyFont="1" applyBorder="1"/>
    <xf numFmtId="0" fontId="1" fillId="0" borderId="3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12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0" xfId="0" applyFont="1" applyAlignment="1">
      <alignment horizontal="right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3" borderId="1" xfId="0" applyFill="1" applyBorder="1"/>
    <xf numFmtId="0" fontId="0" fillId="2" borderId="1" xfId="0" applyFill="1" applyBorder="1"/>
    <xf numFmtId="0" fontId="0" fillId="3" borderId="9" xfId="0" applyFill="1" applyBorder="1"/>
    <xf numFmtId="0" fontId="0" fillId="2" borderId="9" xfId="0" applyFill="1" applyBorder="1"/>
    <xf numFmtId="0" fontId="1" fillId="0" borderId="13" xfId="0" applyFont="1" applyBorder="1"/>
    <xf numFmtId="0" fontId="1" fillId="0" borderId="14" xfId="0" applyFont="1" applyBorder="1"/>
    <xf numFmtId="0" fontId="1" fillId="3" borderId="15" xfId="0" applyFont="1" applyFill="1" applyBorder="1"/>
    <xf numFmtId="0" fontId="1" fillId="2" borderId="15" xfId="0" applyFont="1" applyFill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0" fillId="3" borderId="19" xfId="0" applyFill="1" applyBorder="1"/>
    <xf numFmtId="0" fontId="0" fillId="2" borderId="19" xfId="0" applyFill="1" applyBorder="1"/>
    <xf numFmtId="0" fontId="0" fillId="0" borderId="17" xfId="0" applyBorder="1"/>
    <xf numFmtId="0" fontId="1" fillId="0" borderId="20" xfId="0" applyFont="1" applyBorder="1"/>
    <xf numFmtId="0" fontId="0" fillId="0" borderId="18" xfId="0" applyBorder="1"/>
    <xf numFmtId="0" fontId="1" fillId="0" borderId="15" xfId="0" applyFont="1" applyBorder="1"/>
    <xf numFmtId="0" fontId="0" fillId="0" borderId="9" xfId="0" applyBorder="1"/>
    <xf numFmtId="0" fontId="0" fillId="0" borderId="1" xfId="0" applyBorder="1"/>
    <xf numFmtId="0" fontId="0" fillId="0" borderId="19" xfId="0" applyBorder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40 mm Extensor Torque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100 kPa</c:v>
          </c:tx>
          <c:spPr>
            <a:ln w="1905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ExtTest40mm_1!$C$7:$I$7</c:f>
              <c:numCache>
                <c:formatCode>General</c:formatCode>
                <c:ptCount val="7"/>
                <c:pt idx="0">
                  <c:v>-117</c:v>
                </c:pt>
                <c:pt idx="1">
                  <c:v>-106</c:v>
                </c:pt>
                <c:pt idx="2">
                  <c:v>-96</c:v>
                </c:pt>
                <c:pt idx="3">
                  <c:v>-66.5</c:v>
                </c:pt>
                <c:pt idx="4">
                  <c:v>-74.5</c:v>
                </c:pt>
                <c:pt idx="5">
                  <c:v>-85.5</c:v>
                </c:pt>
                <c:pt idx="6">
                  <c:v>-53.5</c:v>
                </c:pt>
              </c:numCache>
            </c:numRef>
          </c:xVal>
          <c:yVal>
            <c:numRef>
              <c:f>ExtTest40mm_1!$C$16:$I$16</c:f>
              <c:numCache>
                <c:formatCode>General</c:formatCode>
                <c:ptCount val="7"/>
                <c:pt idx="0">
                  <c:v>6.8530172364026392</c:v>
                </c:pt>
                <c:pt idx="1">
                  <c:v>3.0616448382428998</c:v>
                </c:pt>
                <c:pt idx="2">
                  <c:v>1.7567434855432555</c:v>
                </c:pt>
                <c:pt idx="3">
                  <c:v>0.42875300427896085</c:v>
                </c:pt>
                <c:pt idx="4">
                  <c:v>0.96291824494655998</c:v>
                </c:pt>
                <c:pt idx="5">
                  <c:v>1.4332513689040982</c:v>
                </c:pt>
                <c:pt idx="6">
                  <c:v>0.35309782369307174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C2-4CC9-84A0-9D584220C280}"/>
            </c:ext>
          </c:extLst>
        </c:ser>
        <c:ser>
          <c:idx val="1"/>
          <c:order val="1"/>
          <c:tx>
            <c:v>230 kPa</c:v>
          </c:tx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ExtTest40mm_1!$J$7:$N$7</c:f>
              <c:numCache>
                <c:formatCode>General</c:formatCode>
                <c:ptCount val="5"/>
                <c:pt idx="0">
                  <c:v>-53.5</c:v>
                </c:pt>
                <c:pt idx="1">
                  <c:v>-17</c:v>
                </c:pt>
                <c:pt idx="2">
                  <c:v>-17</c:v>
                </c:pt>
                <c:pt idx="3">
                  <c:v>-42.5</c:v>
                </c:pt>
                <c:pt idx="4">
                  <c:v>-30</c:v>
                </c:pt>
              </c:numCache>
            </c:numRef>
          </c:xVal>
          <c:yVal>
            <c:numRef>
              <c:f>ExtTest40mm_1!$J$16:$N$16</c:f>
              <c:numCache>
                <c:formatCode>General</c:formatCode>
                <c:ptCount val="5"/>
                <c:pt idx="0">
                  <c:v>6.2252989619399299</c:v>
                </c:pt>
                <c:pt idx="1">
                  <c:v>1.0541046558415272</c:v>
                </c:pt>
                <c:pt idx="2">
                  <c:v>1.235368116067078</c:v>
                </c:pt>
                <c:pt idx="3">
                  <c:v>6.0420429311128272</c:v>
                </c:pt>
                <c:pt idx="4">
                  <c:v>3.2343374006094714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C2-4CC9-84A0-9D584220C280}"/>
            </c:ext>
          </c:extLst>
        </c:ser>
        <c:ser>
          <c:idx val="2"/>
          <c:order val="2"/>
          <c:tx>
            <c:v>380 kPa</c:v>
          </c:tx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ExtTest40mm_1!$O$7:$P$7</c:f>
              <c:numCache>
                <c:formatCode>General</c:formatCode>
                <c:ptCount val="2"/>
                <c:pt idx="0">
                  <c:v>-6</c:v>
                </c:pt>
                <c:pt idx="1">
                  <c:v>6.5</c:v>
                </c:pt>
              </c:numCache>
            </c:numRef>
          </c:xVal>
          <c:yVal>
            <c:numRef>
              <c:f>ExtTest40mm_1!$O$16:$P$16</c:f>
              <c:numCache>
                <c:formatCode>General</c:formatCode>
                <c:ptCount val="2"/>
                <c:pt idx="0">
                  <c:v>10.360519153738428</c:v>
                </c:pt>
                <c:pt idx="1">
                  <c:v>6.0809498055103717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C2-4CC9-84A0-9D584220C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048063"/>
        <c:axId val="531049727"/>
      </c:scatterChart>
      <c:valAx>
        <c:axId val="531048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049727"/>
        <c:crosses val="autoZero"/>
        <c:crossBetween val="midCat"/>
      </c:valAx>
      <c:valAx>
        <c:axId val="53104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048063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 mm Extensor Torque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noFill/>
              <a:prstDash val="solid"/>
            </a:ln>
          </c:spPr>
          <c:marker>
            <c:symbol val="circle"/>
            <c:size val="7"/>
            <c:spPr>
              <a:ln>
                <a:prstDash val="solid"/>
              </a:ln>
            </c:spPr>
          </c:marker>
          <c:xVal>
            <c:numRef>
              <c:f>ExtTest20mm_1!$C$7:$X$7</c:f>
              <c:numCache>
                <c:formatCode>General</c:formatCode>
                <c:ptCount val="22"/>
                <c:pt idx="0">
                  <c:v>10</c:v>
                </c:pt>
                <c:pt idx="1">
                  <c:v>11</c:v>
                </c:pt>
                <c:pt idx="2">
                  <c:v>10</c:v>
                </c:pt>
              </c:numCache>
            </c:numRef>
          </c:xVal>
          <c:yVal>
            <c:numRef>
              <c:f>ExtTest20mm_1!$C$16:$X$16</c:f>
              <c:numCache>
                <c:formatCode>General</c:formatCode>
                <c:ptCount val="22"/>
                <c:pt idx="0">
                  <c:v>1.0381838898090796</c:v>
                </c:pt>
                <c:pt idx="1">
                  <c:v>6.9717875622415679</c:v>
                </c:pt>
                <c:pt idx="2">
                  <c:v>20.758112821237887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CA-4C5B-BA43-A58DAB212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 mm Extensor Torque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noFill/>
              <a:prstDash val="solid"/>
            </a:ln>
          </c:spPr>
          <c:marker>
            <c:symbol val="circle"/>
            <c:size val="7"/>
            <c:spPr>
              <a:ln>
                <a:prstDash val="solid"/>
              </a:ln>
            </c:spPr>
          </c:marker>
          <c:xVal>
            <c:numRef>
              <c:f>ExtTest20mm_2!$C$7:$X$7</c:f>
              <c:numCache>
                <c:formatCode>General</c:formatCode>
                <c:ptCount val="22"/>
                <c:pt idx="0">
                  <c:v>-26.2</c:v>
                </c:pt>
                <c:pt idx="1">
                  <c:v>-30</c:v>
                </c:pt>
                <c:pt idx="2">
                  <c:v>-61</c:v>
                </c:pt>
                <c:pt idx="3">
                  <c:v>-43</c:v>
                </c:pt>
                <c:pt idx="4">
                  <c:v>-119</c:v>
                </c:pt>
                <c:pt idx="5">
                  <c:v>5</c:v>
                </c:pt>
                <c:pt idx="6">
                  <c:v>-1</c:v>
                </c:pt>
                <c:pt idx="7">
                  <c:v>-22</c:v>
                </c:pt>
                <c:pt idx="8">
                  <c:v>-86.5</c:v>
                </c:pt>
              </c:numCache>
            </c:numRef>
          </c:xVal>
          <c:yVal>
            <c:numRef>
              <c:f>ExtTest20mm_2!$C$16:$X$16</c:f>
              <c:numCache>
                <c:formatCode>General</c:formatCode>
                <c:ptCount val="22"/>
                <c:pt idx="0">
                  <c:v>44.8113882594823</c:v>
                </c:pt>
                <c:pt idx="1">
                  <c:v>45.585747457333838</c:v>
                </c:pt>
                <c:pt idx="2">
                  <c:v>42.724833518295966</c:v>
                </c:pt>
                <c:pt idx="3">
                  <c:v>45.242138509683038</c:v>
                </c:pt>
                <c:pt idx="4">
                  <c:v>30.146746944099203</c:v>
                </c:pt>
                <c:pt idx="5">
                  <c:v>25.602991386762568</c:v>
                </c:pt>
                <c:pt idx="6">
                  <c:v>31.494527360331841</c:v>
                </c:pt>
                <c:pt idx="7">
                  <c:v>43.120392476105614</c:v>
                </c:pt>
                <c:pt idx="8">
                  <c:v>35.729549720172791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4E-4B50-9FEF-6C2014DD1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 Flexor Torque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500 kPA</c:v>
          </c:tx>
          <c:spPr>
            <a:ln w="1905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1194116360454941"/>
                  <c:y val="0.27785177894429858"/>
                </c:manualLayout>
              </c:layout>
              <c:numFmt formatCode="General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FlxTest20mm_42cm!$M$7:$Q$7</c:f>
              <c:numCache>
                <c:formatCode>General</c:formatCode>
                <c:ptCount val="5"/>
                <c:pt idx="0">
                  <c:v>-73.5</c:v>
                </c:pt>
                <c:pt idx="1">
                  <c:v>-82</c:v>
                </c:pt>
                <c:pt idx="2">
                  <c:v>-88</c:v>
                </c:pt>
                <c:pt idx="3">
                  <c:v>-103.5</c:v>
                </c:pt>
                <c:pt idx="4">
                  <c:v>-114</c:v>
                </c:pt>
              </c:numCache>
            </c:numRef>
          </c:xVal>
          <c:yVal>
            <c:numRef>
              <c:f>FlxTest20mm_42cm!$M$16:$Q$16</c:f>
              <c:numCache>
                <c:formatCode>General</c:formatCode>
                <c:ptCount val="5"/>
                <c:pt idx="0">
                  <c:v>-5.6806977708149313</c:v>
                </c:pt>
                <c:pt idx="1">
                  <c:v>-4.0392598352753879</c:v>
                </c:pt>
                <c:pt idx="2">
                  <c:v>-3.2513783399694391</c:v>
                </c:pt>
                <c:pt idx="3">
                  <c:v>-1.3263579017259233</c:v>
                </c:pt>
                <c:pt idx="4">
                  <c:v>-0.70598947320621186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9C-4AD7-BEC4-086D0D7C5493}"/>
            </c:ext>
          </c:extLst>
        </c:ser>
        <c:ser>
          <c:idx val="1"/>
          <c:order val="1"/>
          <c:tx>
            <c:v>300 kPa</c:v>
          </c:tx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FlxTest20mm_42cm!$C$7:$L$7</c:f>
              <c:numCache>
                <c:formatCode>General</c:formatCode>
                <c:ptCount val="10"/>
                <c:pt idx="0">
                  <c:v>-2</c:v>
                </c:pt>
                <c:pt idx="1">
                  <c:v>-11.5</c:v>
                </c:pt>
                <c:pt idx="2">
                  <c:v>-20</c:v>
                </c:pt>
                <c:pt idx="3">
                  <c:v>-27</c:v>
                </c:pt>
                <c:pt idx="4">
                  <c:v>-35</c:v>
                </c:pt>
                <c:pt idx="5">
                  <c:v>-44</c:v>
                </c:pt>
                <c:pt idx="6">
                  <c:v>-54.5</c:v>
                </c:pt>
                <c:pt idx="7">
                  <c:v>-50</c:v>
                </c:pt>
                <c:pt idx="8">
                  <c:v>-63</c:v>
                </c:pt>
                <c:pt idx="9">
                  <c:v>-64</c:v>
                </c:pt>
              </c:numCache>
            </c:numRef>
          </c:xVal>
          <c:yVal>
            <c:numRef>
              <c:f>FlxTest20mm_42cm!$C$16:$L$16</c:f>
              <c:numCache>
                <c:formatCode>General</c:formatCode>
                <c:ptCount val="10"/>
                <c:pt idx="0">
                  <c:v>-9.9520752292838743</c:v>
                </c:pt>
                <c:pt idx="1">
                  <c:v>-8.309776190397633</c:v>
                </c:pt>
                <c:pt idx="2">
                  <c:v>-6.9372085405748338</c:v>
                </c:pt>
                <c:pt idx="3">
                  <c:v>-5.8312110803111104</c:v>
                </c:pt>
                <c:pt idx="4">
                  <c:v>-4.6528169082585853</c:v>
                </c:pt>
                <c:pt idx="5">
                  <c:v>-3.5943174716264252</c:v>
                </c:pt>
                <c:pt idx="6">
                  <c:v>-3.5754544525113139</c:v>
                </c:pt>
                <c:pt idx="7">
                  <c:v>-3.0265514767141273</c:v>
                </c:pt>
                <c:pt idx="8">
                  <c:v>-2.199767728579054</c:v>
                </c:pt>
                <c:pt idx="9">
                  <c:v>-0.92210333898321939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99C-4AD7-BEC4-086D0D7C5493}"/>
            </c:ext>
          </c:extLst>
        </c:ser>
        <c:ser>
          <c:idx val="2"/>
          <c:order val="2"/>
          <c:tx>
            <c:v>620 kPa</c:v>
          </c:tx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</c:spPr>
            <c:trendlineType val="poly"/>
            <c:order val="2"/>
            <c:dispRSqr val="1"/>
            <c:dispEq val="1"/>
            <c:trendlineLbl>
              <c:layout>
                <c:manualLayout>
                  <c:x val="5.8333333333333327E-2"/>
                  <c:y val="0.37889690871974341"/>
                </c:manualLayout>
              </c:layout>
              <c:numFmt formatCode="General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FlxTest20mm_42cm!$R$7:$S$7</c:f>
              <c:numCache>
                <c:formatCode>General</c:formatCode>
                <c:ptCount val="2"/>
                <c:pt idx="0">
                  <c:v>-115</c:v>
                </c:pt>
                <c:pt idx="1">
                  <c:v>-120</c:v>
                </c:pt>
              </c:numCache>
            </c:numRef>
          </c:xVal>
          <c:yVal>
            <c:numRef>
              <c:f>FlxTest20mm_42cm!$R$16:$S$16</c:f>
              <c:numCache>
                <c:formatCode>General</c:formatCode>
                <c:ptCount val="2"/>
                <c:pt idx="0">
                  <c:v>-1.826208161538696</c:v>
                </c:pt>
                <c:pt idx="1">
                  <c:v>-1.0937153129886135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99C-4AD7-BEC4-086D0D7C5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1401968"/>
        <c:axId val="1221403632"/>
      </c:scatterChart>
      <c:valAx>
        <c:axId val="122140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403632"/>
        <c:crosses val="autoZero"/>
        <c:crossBetween val="midCat"/>
      </c:valAx>
      <c:valAx>
        <c:axId val="122140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40196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 Flexor Torque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500 kPA</c:v>
          </c:tx>
          <c:spPr>
            <a:ln w="1905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1194116360454941"/>
                  <c:y val="0.27785177894429858"/>
                </c:manualLayout>
              </c:layout>
              <c:numFmt formatCode="General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FlxTest20mm_39cm!$M$7:$Q$7</c:f>
              <c:numCache>
                <c:formatCode>General</c:formatCode>
                <c:ptCount val="5"/>
              </c:numCache>
            </c:numRef>
          </c:xVal>
          <c:yVal>
            <c:numRef>
              <c:f>FlxTest20mm_39cm!$M$16:$Q$16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E6-4771-8BEB-270FED64EA26}"/>
            </c:ext>
          </c:extLst>
        </c:ser>
        <c:ser>
          <c:idx val="1"/>
          <c:order val="1"/>
          <c:tx>
            <c:v>300 kPa</c:v>
          </c:tx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</c:spPr>
            <c:trendlineType val="poly"/>
            <c:order val="2"/>
            <c:dispRSqr val="0"/>
            <c:dispEq val="0"/>
          </c:trendline>
          <c:xVal>
            <c:numRef>
              <c:f>FlxTest20mm_39cm!$C$7:$L$7</c:f>
              <c:numCache>
                <c:formatCode>General</c:formatCode>
                <c:ptCount val="10"/>
                <c:pt idx="0">
                  <c:v>-124</c:v>
                </c:pt>
                <c:pt idx="1">
                  <c:v>-98.5</c:v>
                </c:pt>
                <c:pt idx="2">
                  <c:v>-118.5</c:v>
                </c:pt>
                <c:pt idx="3">
                  <c:v>-111</c:v>
                </c:pt>
                <c:pt idx="4">
                  <c:v>-90</c:v>
                </c:pt>
                <c:pt idx="5">
                  <c:v>-75</c:v>
                </c:pt>
                <c:pt idx="6">
                  <c:v>-64</c:v>
                </c:pt>
              </c:numCache>
            </c:numRef>
          </c:xVal>
          <c:yVal>
            <c:numRef>
              <c:f>FlxTest20mm_39cm!$C$16:$L$16</c:f>
              <c:numCache>
                <c:formatCode>General</c:formatCode>
                <c:ptCount val="10"/>
                <c:pt idx="0">
                  <c:v>-5.6541833371388703</c:v>
                </c:pt>
                <c:pt idx="1">
                  <c:v>-11.416082319316914</c:v>
                </c:pt>
                <c:pt idx="2">
                  <c:v>-5.7080411596584568</c:v>
                </c:pt>
                <c:pt idx="3">
                  <c:v>-10.218147814891781</c:v>
                </c:pt>
                <c:pt idx="4">
                  <c:v>-13.937767935473495</c:v>
                </c:pt>
                <c:pt idx="5">
                  <c:v>-17.298116513358377</c:v>
                </c:pt>
                <c:pt idx="6">
                  <c:v>-20.398495906594288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BE6-4771-8BEB-270FED64EA26}"/>
            </c:ext>
          </c:extLst>
        </c:ser>
        <c:ser>
          <c:idx val="2"/>
          <c:order val="2"/>
          <c:tx>
            <c:v>620 kPa</c:v>
          </c:tx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</c:spPr>
            <c:trendlineType val="poly"/>
            <c:order val="2"/>
            <c:dispRSqr val="1"/>
            <c:dispEq val="1"/>
            <c:trendlineLbl>
              <c:layout>
                <c:manualLayout>
                  <c:x val="5.8333333333333327E-2"/>
                  <c:y val="0.37889690871974341"/>
                </c:manualLayout>
              </c:layout>
              <c:numFmt formatCode="General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FlxTest20mm_39cm!$R$7:$S$7</c:f>
              <c:numCache>
                <c:formatCode>General</c:formatCode>
                <c:ptCount val="2"/>
              </c:numCache>
            </c:numRef>
          </c:xVal>
          <c:yVal>
            <c:numRef>
              <c:f>FlxTest20mm_39cm!$R$16:$S$16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BE6-4771-8BEB-270FED64E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1401968"/>
        <c:axId val="1221403632"/>
      </c:scatterChart>
      <c:valAx>
        <c:axId val="122140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403632"/>
        <c:crosses val="autoZero"/>
        <c:crossBetween val="midCat"/>
      </c:valAx>
      <c:valAx>
        <c:axId val="122140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40196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 Flexor Torque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500 kPA</c:v>
          </c:tx>
          <c:spPr>
            <a:ln w="1905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1194116360454941"/>
                  <c:y val="0.27785177894429858"/>
                </c:manualLayout>
              </c:layout>
              <c:numFmt formatCode="General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'FlxTest20mm_39cm (2)'!$M$7:$Q$7</c:f>
              <c:numCache>
                <c:formatCode>General</c:formatCode>
                <c:ptCount val="5"/>
              </c:numCache>
            </c:numRef>
          </c:xVal>
          <c:yVal>
            <c:numRef>
              <c:f>'FlxTest20mm_39cm (2)'!$M$16:$Q$16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97-422A-9758-957B933614E7}"/>
            </c:ext>
          </c:extLst>
        </c:ser>
        <c:ser>
          <c:idx val="1"/>
          <c:order val="1"/>
          <c:tx>
            <c:v>300 kPa</c:v>
          </c:tx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</c:spPr>
            <c:trendlineType val="poly"/>
            <c:order val="2"/>
            <c:dispRSqr val="0"/>
            <c:dispEq val="0"/>
          </c:trendline>
          <c:xVal>
            <c:numRef>
              <c:f>'FlxTest20mm_39cm (2)'!$C$7:$L$7</c:f>
              <c:numCache>
                <c:formatCode>General</c:formatCode>
                <c:ptCount val="10"/>
                <c:pt idx="0">
                  <c:v>-125</c:v>
                </c:pt>
                <c:pt idx="1">
                  <c:v>-112</c:v>
                </c:pt>
                <c:pt idx="2">
                  <c:v>-91.5</c:v>
                </c:pt>
                <c:pt idx="3">
                  <c:v>-75</c:v>
                </c:pt>
              </c:numCache>
            </c:numRef>
          </c:xVal>
          <c:yVal>
            <c:numRef>
              <c:f>'FlxTest20mm_39cm (2)'!$C$16:$L$16</c:f>
              <c:numCache>
                <c:formatCode>General</c:formatCode>
                <c:ptCount val="10"/>
                <c:pt idx="0">
                  <c:v>-3.2074362177995286</c:v>
                </c:pt>
                <c:pt idx="1">
                  <c:v>-8.7827488537996867</c:v>
                </c:pt>
                <c:pt idx="2">
                  <c:v>-11.489901909669882</c:v>
                </c:pt>
                <c:pt idx="3">
                  <c:v>-16.172026211620985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397-422A-9758-957B933614E7}"/>
            </c:ext>
          </c:extLst>
        </c:ser>
        <c:ser>
          <c:idx val="2"/>
          <c:order val="2"/>
          <c:tx>
            <c:v>620 kPa</c:v>
          </c:tx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</c:spPr>
            <c:trendlineType val="poly"/>
            <c:order val="2"/>
            <c:dispRSqr val="1"/>
            <c:dispEq val="1"/>
            <c:trendlineLbl>
              <c:layout>
                <c:manualLayout>
                  <c:x val="5.8333333333333327E-2"/>
                  <c:y val="0.37889690871974341"/>
                </c:manualLayout>
              </c:layout>
              <c:numFmt formatCode="General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'FlxTest20mm_39cm (2)'!$R$7:$S$7</c:f>
              <c:numCache>
                <c:formatCode>General</c:formatCode>
                <c:ptCount val="2"/>
              </c:numCache>
            </c:numRef>
          </c:xVal>
          <c:yVal>
            <c:numRef>
              <c:f>'FlxTest20mm_39cm (2)'!$R$16:$S$16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397-422A-9758-957B93361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1401968"/>
        <c:axId val="1221403632"/>
      </c:scatterChart>
      <c:valAx>
        <c:axId val="122140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403632"/>
        <c:crosses val="autoZero"/>
        <c:crossBetween val="midCat"/>
      </c:valAx>
      <c:valAx>
        <c:axId val="122140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40196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 Flexor Torque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500 kPA</c:v>
          </c:tx>
          <c:spPr>
            <a:ln w="1905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1194116360454941"/>
                  <c:y val="0.27785177894429858"/>
                </c:manualLayout>
              </c:layout>
              <c:numFmt formatCode="General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'FlxTest20mm_42cm (2)'!$M$7:$Q$7</c:f>
              <c:numCache>
                <c:formatCode>General</c:formatCode>
                <c:ptCount val="5"/>
              </c:numCache>
            </c:numRef>
          </c:xVal>
          <c:yVal>
            <c:numRef>
              <c:f>'FlxTest20mm_42cm (2)'!$M$16:$Q$16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21-4D9A-B379-377146290C08}"/>
            </c:ext>
          </c:extLst>
        </c:ser>
        <c:ser>
          <c:idx val="1"/>
          <c:order val="1"/>
          <c:tx>
            <c:v>300 kPa</c:v>
          </c:tx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</c:spPr>
            <c:trendlineType val="poly"/>
            <c:order val="2"/>
            <c:dispRSqr val="0"/>
            <c:dispEq val="0"/>
          </c:trendline>
          <c:xVal>
            <c:numRef>
              <c:f>'FlxTest20mm_42cm (2)'!$C$7:$L$7</c:f>
              <c:numCache>
                <c:formatCode>General</c:formatCode>
                <c:ptCount val="10"/>
                <c:pt idx="0">
                  <c:v>-125</c:v>
                </c:pt>
                <c:pt idx="1">
                  <c:v>-112</c:v>
                </c:pt>
                <c:pt idx="2">
                  <c:v>-93</c:v>
                </c:pt>
                <c:pt idx="3">
                  <c:v>-80</c:v>
                </c:pt>
                <c:pt idx="4">
                  <c:v>-75</c:v>
                </c:pt>
                <c:pt idx="5">
                  <c:v>-52</c:v>
                </c:pt>
                <c:pt idx="6">
                  <c:v>-42</c:v>
                </c:pt>
                <c:pt idx="7">
                  <c:v>-32</c:v>
                </c:pt>
              </c:numCache>
            </c:numRef>
          </c:xVal>
          <c:yVal>
            <c:numRef>
              <c:f>'FlxTest20mm_42cm (2)'!$C$16:$L$16</c:f>
              <c:numCache>
                <c:formatCode>General</c:formatCode>
                <c:ptCount val="10"/>
                <c:pt idx="0">
                  <c:v>-1.5702056777668703</c:v>
                </c:pt>
                <c:pt idx="1">
                  <c:v>-6.0305367147524738</c:v>
                </c:pt>
                <c:pt idx="2">
                  <c:v>-10.049415693445349</c:v>
                </c:pt>
                <c:pt idx="3">
                  <c:v>-14.462104379205506</c:v>
                </c:pt>
                <c:pt idx="4">
                  <c:v>-18.54620852024544</c:v>
                </c:pt>
                <c:pt idx="5">
                  <c:v>-22.519923786080557</c:v>
                </c:pt>
                <c:pt idx="6">
                  <c:v>-25.525501816571964</c:v>
                </c:pt>
                <c:pt idx="7">
                  <c:v>-26.999475495745692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521-4D9A-B379-377146290C08}"/>
            </c:ext>
          </c:extLst>
        </c:ser>
        <c:ser>
          <c:idx val="2"/>
          <c:order val="2"/>
          <c:tx>
            <c:v>620 kPa</c:v>
          </c:tx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</c:spPr>
            <c:trendlineType val="poly"/>
            <c:order val="2"/>
            <c:dispRSqr val="1"/>
            <c:dispEq val="1"/>
            <c:trendlineLbl>
              <c:layout>
                <c:manualLayout>
                  <c:x val="5.8333333333333327E-2"/>
                  <c:y val="0.37889690871974341"/>
                </c:manualLayout>
              </c:layout>
              <c:numFmt formatCode="General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'FlxTest20mm_42cm (2)'!$R$7:$S$7</c:f>
              <c:numCache>
                <c:formatCode>General</c:formatCode>
                <c:ptCount val="2"/>
              </c:numCache>
            </c:numRef>
          </c:xVal>
          <c:yVal>
            <c:numRef>
              <c:f>'FlxTest20mm_42cm (2)'!$R$16:$S$16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521-4D9A-B379-377146290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1401968"/>
        <c:axId val="1221403632"/>
      </c:scatterChart>
      <c:valAx>
        <c:axId val="122140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403632"/>
        <c:crosses val="autoZero"/>
        <c:crossBetween val="midCat"/>
      </c:valAx>
      <c:valAx>
        <c:axId val="122140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40196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 Flexor Torque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'FlxTest20mm_42cm (3)'!$N$7:$AD$7</c:f>
              <c:numCache>
                <c:formatCode>General</c:formatCode>
                <c:ptCount val="17"/>
                <c:pt idx="0">
                  <c:v>-26.01</c:v>
                </c:pt>
                <c:pt idx="1">
                  <c:v>-26.001000000000001</c:v>
                </c:pt>
                <c:pt idx="2">
                  <c:v>-18.5</c:v>
                </c:pt>
                <c:pt idx="3">
                  <c:v>-18</c:v>
                </c:pt>
                <c:pt idx="4">
                  <c:v>-7</c:v>
                </c:pt>
                <c:pt idx="5">
                  <c:v>-9</c:v>
                </c:pt>
                <c:pt idx="6">
                  <c:v>0</c:v>
                </c:pt>
                <c:pt idx="7">
                  <c:v>3</c:v>
                </c:pt>
                <c:pt idx="8">
                  <c:v>7.7</c:v>
                </c:pt>
                <c:pt idx="9">
                  <c:v>-6.5</c:v>
                </c:pt>
                <c:pt idx="10">
                  <c:v>-32</c:v>
                </c:pt>
              </c:numCache>
            </c:numRef>
          </c:xVal>
          <c:yVal>
            <c:numRef>
              <c:f>'FlxTest20mm_42cm (3)'!$N$16:$AD$16</c:f>
              <c:numCache>
                <c:formatCode>General</c:formatCode>
                <c:ptCount val="17"/>
                <c:pt idx="0">
                  <c:v>-19.227454254339136</c:v>
                </c:pt>
                <c:pt idx="1">
                  <c:v>-22.870810329712633</c:v>
                </c:pt>
                <c:pt idx="2">
                  <c:v>-15.303755097401908</c:v>
                </c:pt>
                <c:pt idx="3">
                  <c:v>-23.614928776430023</c:v>
                </c:pt>
                <c:pt idx="4">
                  <c:v>-16.964330062819261</c:v>
                </c:pt>
                <c:pt idx="5">
                  <c:v>-20.512556348769913</c:v>
                </c:pt>
                <c:pt idx="6">
                  <c:v>-22.524669621589222</c:v>
                </c:pt>
                <c:pt idx="7">
                  <c:v>-22.445422242164838</c:v>
                </c:pt>
                <c:pt idx="8">
                  <c:v>-24.683174896031996</c:v>
                </c:pt>
                <c:pt idx="9">
                  <c:v>-31.305765433684865</c:v>
                </c:pt>
                <c:pt idx="10">
                  <c:v>-24.076391978101967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9E-4B1B-8BF0-F2CB549190B5}"/>
            </c:ext>
          </c:extLst>
        </c:ser>
        <c:ser>
          <c:idx val="1"/>
          <c:order val="1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</c:spPr>
            <c:trendlineType val="poly"/>
            <c:order val="2"/>
            <c:dispRSqr val="0"/>
            <c:dispEq val="0"/>
          </c:trendline>
          <c:xVal>
            <c:numRef>
              <c:f>'FlxTest20mm_42cm (3)'!$C$7:$M$7</c:f>
              <c:numCache>
                <c:formatCode>General</c:formatCode>
                <c:ptCount val="11"/>
                <c:pt idx="0">
                  <c:v>-125</c:v>
                </c:pt>
                <c:pt idx="1">
                  <c:v>-114</c:v>
                </c:pt>
                <c:pt idx="2">
                  <c:v>-98</c:v>
                </c:pt>
                <c:pt idx="3">
                  <c:v>-83</c:v>
                </c:pt>
                <c:pt idx="4">
                  <c:v>-75.5</c:v>
                </c:pt>
                <c:pt idx="5">
                  <c:v>-69</c:v>
                </c:pt>
                <c:pt idx="6">
                  <c:v>-55.5</c:v>
                </c:pt>
                <c:pt idx="7">
                  <c:v>-53.000999999999998</c:v>
                </c:pt>
                <c:pt idx="8">
                  <c:v>-53.01</c:v>
                </c:pt>
                <c:pt idx="9">
                  <c:v>-41</c:v>
                </c:pt>
                <c:pt idx="10">
                  <c:v>-30</c:v>
                </c:pt>
              </c:numCache>
            </c:numRef>
          </c:xVal>
          <c:yVal>
            <c:numRef>
              <c:f>'FlxTest20mm_42cm (3)'!$C$16:$M$16</c:f>
              <c:numCache>
                <c:formatCode>General</c:formatCode>
                <c:ptCount val="11"/>
                <c:pt idx="0">
                  <c:v>-5.6260680394816323</c:v>
                </c:pt>
                <c:pt idx="1">
                  <c:v>-5.620399172616299</c:v>
                </c:pt>
                <c:pt idx="2">
                  <c:v>-10.136558498526179</c:v>
                </c:pt>
                <c:pt idx="3">
                  <c:v>-13.182897163275499</c:v>
                </c:pt>
                <c:pt idx="4">
                  <c:v>-14.441726709946776</c:v>
                </c:pt>
                <c:pt idx="5">
                  <c:v>-17.25259369975322</c:v>
                </c:pt>
                <c:pt idx="6">
                  <c:v>-20.883378186341204</c:v>
                </c:pt>
                <c:pt idx="7">
                  <c:v>-22.6507412457938</c:v>
                </c:pt>
                <c:pt idx="8">
                  <c:v>-23.16548730865841</c:v>
                </c:pt>
                <c:pt idx="9">
                  <c:v>-28.66833854611783</c:v>
                </c:pt>
                <c:pt idx="10">
                  <c:v>-31.996455925810519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9E-4B1B-8BF0-F2CB549190B5}"/>
            </c:ext>
          </c:extLst>
        </c:ser>
        <c:ser>
          <c:idx val="2"/>
          <c:order val="2"/>
          <c:tx>
            <c:v>620 kPa</c:v>
          </c:tx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</c:spPr>
            <c:trendlineType val="poly"/>
            <c:order val="2"/>
            <c:dispRSqr val="0"/>
            <c:dispEq val="0"/>
          </c:trendline>
          <c:xVal>
            <c:numRef>
              <c:f>'FlxTest20mm_42cm (3)'!$R$7:$S$7</c:f>
              <c:numCache>
                <c:formatCode>General</c:formatCode>
                <c:ptCount val="2"/>
                <c:pt idx="0">
                  <c:v>-7</c:v>
                </c:pt>
                <c:pt idx="1">
                  <c:v>-9</c:v>
                </c:pt>
              </c:numCache>
            </c:numRef>
          </c:xVal>
          <c:yVal>
            <c:numRef>
              <c:f>'FlxTest20mm_42cm (3)'!$R$16:$S$16</c:f>
              <c:numCache>
                <c:formatCode>General</c:formatCode>
                <c:ptCount val="2"/>
                <c:pt idx="0">
                  <c:v>-16.964330062819261</c:v>
                </c:pt>
                <c:pt idx="1">
                  <c:v>-20.512556348769913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A9E-4B1B-8BF0-F2CB54919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1401968"/>
        <c:axId val="1221403632"/>
      </c:scatterChart>
      <c:valAx>
        <c:axId val="122140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403632"/>
        <c:crosses val="autoZero"/>
        <c:crossBetween val="midCat"/>
      </c:valAx>
      <c:valAx>
        <c:axId val="122140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40196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20 mm Flexor Torque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noFill/>
              <a:prstDash val="solid"/>
            </a:ln>
          </c:spPr>
          <c:marker>
            <c:symbol val="circle"/>
            <c:size val="7"/>
            <c:spPr>
              <a:ln>
                <a:prstDash val="solid"/>
              </a:ln>
            </c:spPr>
          </c:marker>
          <c:xVal>
            <c:numRef>
              <c:f>FlxTest20mm_51cm!$C$7:$X$7</c:f>
              <c:numCache>
                <c:formatCode>General</c:formatCode>
                <c:ptCount val="22"/>
              </c:numCache>
            </c:numRef>
          </c:xVal>
          <c:yVal>
            <c:numRef>
              <c:f>FlxTest20mm_51cm!$C$16:$X$16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1D-4E97-A3D3-CC32CBB65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23</xdr:row>
      <xdr:rowOff>17145</xdr:rowOff>
    </xdr:from>
    <xdr:to>
      <xdr:col>9</xdr:col>
      <xdr:colOff>874395</xdr:colOff>
      <xdr:row>37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22</xdr:row>
      <xdr:rowOff>0</xdr:rowOff>
    </xdr:from>
    <xdr:to>
      <xdr:col>16</xdr:col>
      <xdr:colOff>0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5EC0F2-1CA3-47DE-813F-F23689B236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22</xdr:row>
      <xdr:rowOff>0</xdr:rowOff>
    </xdr:from>
    <xdr:to>
      <xdr:col>16</xdr:col>
      <xdr:colOff>0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1F9805-328B-4D57-BA65-7B91B7B89C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112395</xdr:colOff>
      <xdr:row>19</xdr:row>
      <xdr:rowOff>136207</xdr:rowOff>
    </xdr:from>
    <xdr:to>
      <xdr:col>10</xdr:col>
      <xdr:colOff>316230</xdr:colOff>
      <xdr:row>34</xdr:row>
      <xdr:rowOff>29527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112395</xdr:colOff>
      <xdr:row>19</xdr:row>
      <xdr:rowOff>136207</xdr:rowOff>
    </xdr:from>
    <xdr:to>
      <xdr:col>10</xdr:col>
      <xdr:colOff>316230</xdr:colOff>
      <xdr:row>34</xdr:row>
      <xdr:rowOff>29527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112395</xdr:colOff>
      <xdr:row>19</xdr:row>
      <xdr:rowOff>136207</xdr:rowOff>
    </xdr:from>
    <xdr:to>
      <xdr:col>10</xdr:col>
      <xdr:colOff>316230</xdr:colOff>
      <xdr:row>34</xdr:row>
      <xdr:rowOff>29527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112395</xdr:colOff>
      <xdr:row>19</xdr:row>
      <xdr:rowOff>136207</xdr:rowOff>
    </xdr:from>
    <xdr:to>
      <xdr:col>10</xdr:col>
      <xdr:colOff>316230</xdr:colOff>
      <xdr:row>34</xdr:row>
      <xdr:rowOff>29527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541020</xdr:colOff>
      <xdr:row>22</xdr:row>
      <xdr:rowOff>136207</xdr:rowOff>
    </xdr:from>
    <xdr:to>
      <xdr:col>16</xdr:col>
      <xdr:colOff>516255</xdr:colOff>
      <xdr:row>37</xdr:row>
      <xdr:rowOff>29527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22</xdr:row>
      <xdr:rowOff>0</xdr:rowOff>
    </xdr:from>
    <xdr:to>
      <xdr:col>16</xdr:col>
      <xdr:colOff>0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topLeftCell="A13" workbookViewId="0">
      <selection activeCell="D16" sqref="D16"/>
    </sheetView>
  </sheetViews>
  <sheetFormatPr defaultRowHeight="15" x14ac:dyDescent="0.25"/>
  <cols>
    <col min="1" max="1" width="9.140625" style="3" customWidth="1"/>
    <col min="2" max="2" width="25.140625" style="3" customWidth="1"/>
    <col min="3" max="3" width="12.28515625" customWidth="1"/>
    <col min="5" max="5" width="8.7109375" customWidth="1"/>
    <col min="6" max="6" width="11.28515625" customWidth="1"/>
    <col min="7" max="7" width="13.28515625" customWidth="1"/>
    <col min="8" max="9" width="13.42578125" customWidth="1"/>
    <col min="10" max="10" width="14" customWidth="1"/>
  </cols>
  <sheetData>
    <row r="1" spans="1:17" x14ac:dyDescent="0.25">
      <c r="A1" s="3" t="s">
        <v>23</v>
      </c>
    </row>
    <row r="2" spans="1:17" x14ac:dyDescent="0.25">
      <c r="A2" s="3" t="s">
        <v>1</v>
      </c>
      <c r="C2">
        <v>557</v>
      </c>
    </row>
    <row r="3" spans="1:17" x14ac:dyDescent="0.25">
      <c r="B3" s="3" t="s">
        <v>4</v>
      </c>
      <c r="C3">
        <f>C2-C2*0.17</f>
        <v>462.31</v>
      </c>
      <c r="D3">
        <f>C2*0.75</f>
        <v>417.75</v>
      </c>
      <c r="I3">
        <f>1-I10/C2</f>
        <v>5.5655296229802476E-2</v>
      </c>
      <c r="N3">
        <f>1-N10/C2</f>
        <v>0.17953321364452424</v>
      </c>
    </row>
    <row r="4" spans="1:17" x14ac:dyDescent="0.25">
      <c r="B4" s="3" t="s">
        <v>24</v>
      </c>
      <c r="C4">
        <v>30</v>
      </c>
      <c r="J4" t="s">
        <v>25</v>
      </c>
      <c r="O4" t="s">
        <v>26</v>
      </c>
    </row>
    <row r="5" spans="1:17" s="10" customFormat="1" x14ac:dyDescent="0.25">
      <c r="B5" s="4" t="s">
        <v>7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</row>
    <row r="6" spans="1:17" x14ac:dyDescent="0.25">
      <c r="B6" s="5" t="s">
        <v>8</v>
      </c>
      <c r="C6">
        <v>21.395</v>
      </c>
      <c r="D6">
        <v>9.8042999999999996</v>
      </c>
      <c r="E6">
        <v>5.4329000000000001</v>
      </c>
      <c r="F6">
        <v>1.5627</v>
      </c>
      <c r="G6">
        <v>3.1173000000000002</v>
      </c>
      <c r="H6">
        <v>4.5189000000000004</v>
      </c>
      <c r="I6">
        <v>1.1431</v>
      </c>
      <c r="J6">
        <v>20.042999999999999</v>
      </c>
      <c r="K6">
        <v>3.3938000000000001</v>
      </c>
      <c r="L6">
        <v>4.0789999999999997</v>
      </c>
      <c r="M6">
        <v>20.853000000000002</v>
      </c>
      <c r="N6">
        <v>10.808999999999999</v>
      </c>
      <c r="O6">
        <v>33.079000000000001</v>
      </c>
      <c r="P6">
        <v>19.314</v>
      </c>
    </row>
    <row r="7" spans="1:17" x14ac:dyDescent="0.25">
      <c r="B7" s="6" t="s">
        <v>9</v>
      </c>
      <c r="C7">
        <v>-117</v>
      </c>
      <c r="D7">
        <v>-106</v>
      </c>
      <c r="E7">
        <v>-96</v>
      </c>
      <c r="F7">
        <v>-66.5</v>
      </c>
      <c r="G7">
        <v>-74.5</v>
      </c>
      <c r="H7">
        <v>-85.5</v>
      </c>
      <c r="I7">
        <v>-53.5</v>
      </c>
      <c r="J7">
        <v>-53.5</v>
      </c>
      <c r="K7">
        <v>-17</v>
      </c>
      <c r="L7">
        <v>-17</v>
      </c>
      <c r="M7">
        <v>-42.5</v>
      </c>
      <c r="N7">
        <v>-30</v>
      </c>
      <c r="O7">
        <v>-6</v>
      </c>
      <c r="P7">
        <v>6.5</v>
      </c>
    </row>
    <row r="8" spans="1:17" s="1" customFormat="1" x14ac:dyDescent="0.25">
      <c r="A8" s="11" t="s">
        <v>11</v>
      </c>
      <c r="B8" s="7" t="s">
        <v>12</v>
      </c>
      <c r="C8" s="1">
        <v>36.1</v>
      </c>
      <c r="D8" s="1">
        <v>29</v>
      </c>
      <c r="E8" s="1">
        <v>26.5</v>
      </c>
      <c r="F8" s="1">
        <v>32.299999999999997</v>
      </c>
      <c r="G8" s="1">
        <v>31.2</v>
      </c>
      <c r="H8" s="1">
        <v>27.6</v>
      </c>
      <c r="I8" s="1">
        <v>33.6</v>
      </c>
      <c r="J8" s="1">
        <v>36.5</v>
      </c>
      <c r="K8" s="1">
        <v>36</v>
      </c>
      <c r="L8" s="1">
        <v>35.200000000000003</v>
      </c>
      <c r="M8" s="1">
        <v>39.9</v>
      </c>
      <c r="N8" s="1">
        <v>39.700000000000003</v>
      </c>
      <c r="O8" s="1">
        <v>36.200000000000003</v>
      </c>
      <c r="P8" s="1">
        <v>32.5</v>
      </c>
    </row>
    <row r="9" spans="1:17" x14ac:dyDescent="0.25">
      <c r="A9" s="12"/>
      <c r="B9" s="8" t="s">
        <v>13</v>
      </c>
      <c r="C9">
        <v>32</v>
      </c>
      <c r="D9">
        <v>34.5</v>
      </c>
      <c r="E9">
        <v>31</v>
      </c>
      <c r="F9">
        <v>44.5</v>
      </c>
      <c r="G9">
        <v>35.5</v>
      </c>
      <c r="H9">
        <v>33</v>
      </c>
      <c r="I9">
        <v>35.5</v>
      </c>
      <c r="J9">
        <v>35</v>
      </c>
      <c r="K9">
        <v>35</v>
      </c>
      <c r="L9">
        <v>37</v>
      </c>
      <c r="M9">
        <v>40.5</v>
      </c>
      <c r="N9">
        <v>38</v>
      </c>
      <c r="O9">
        <v>34</v>
      </c>
      <c r="P9">
        <v>33.5</v>
      </c>
    </row>
    <row r="10" spans="1:17" x14ac:dyDescent="0.25">
      <c r="A10" s="12"/>
      <c r="B10" s="8" t="s">
        <v>14</v>
      </c>
      <c r="C10">
        <v>533</v>
      </c>
      <c r="D10">
        <v>529.5</v>
      </c>
      <c r="E10">
        <v>520</v>
      </c>
      <c r="F10">
        <v>524</v>
      </c>
      <c r="G10">
        <v>522</v>
      </c>
      <c r="H10">
        <v>522</v>
      </c>
      <c r="I10">
        <v>526</v>
      </c>
      <c r="J10">
        <v>470</v>
      </c>
      <c r="K10">
        <v>461</v>
      </c>
      <c r="L10">
        <v>461</v>
      </c>
      <c r="M10">
        <v>462</v>
      </c>
      <c r="N10">
        <v>457</v>
      </c>
      <c r="O10">
        <v>440</v>
      </c>
      <c r="P10">
        <v>430</v>
      </c>
    </row>
    <row r="11" spans="1:17" x14ac:dyDescent="0.25">
      <c r="A11" s="12"/>
      <c r="B11" s="8" t="s">
        <v>27</v>
      </c>
      <c r="C11">
        <f t="shared" ref="C11:P11" si="0">($C$2-C10)/$C$2</f>
        <v>4.3087971274685818E-2</v>
      </c>
      <c r="D11">
        <f t="shared" si="0"/>
        <v>4.9371633752244168E-2</v>
      </c>
      <c r="E11">
        <f t="shared" si="0"/>
        <v>6.6427289048473961E-2</v>
      </c>
      <c r="F11">
        <f t="shared" si="0"/>
        <v>5.9245960502692999E-2</v>
      </c>
      <c r="G11">
        <f t="shared" si="0"/>
        <v>6.283662477558348E-2</v>
      </c>
      <c r="H11">
        <f t="shared" si="0"/>
        <v>6.283662477558348E-2</v>
      </c>
      <c r="I11">
        <f t="shared" si="0"/>
        <v>5.565529622980251E-2</v>
      </c>
      <c r="J11">
        <f t="shared" si="0"/>
        <v>0.15619389587073609</v>
      </c>
      <c r="K11">
        <f t="shared" si="0"/>
        <v>0.17235188509874327</v>
      </c>
      <c r="L11">
        <f t="shared" si="0"/>
        <v>0.17235188509874327</v>
      </c>
      <c r="M11">
        <f t="shared" si="0"/>
        <v>0.17055655296229802</v>
      </c>
      <c r="N11">
        <f t="shared" si="0"/>
        <v>0.17953321364452424</v>
      </c>
      <c r="O11">
        <f t="shared" si="0"/>
        <v>0.21005385996409337</v>
      </c>
      <c r="P11">
        <f t="shared" si="0"/>
        <v>0.22800718132854578</v>
      </c>
    </row>
    <row r="12" spans="1:17" s="1" customFormat="1" x14ac:dyDescent="0.25">
      <c r="A12" s="11" t="s">
        <v>15</v>
      </c>
      <c r="B12" s="7" t="s">
        <v>16</v>
      </c>
    </row>
    <row r="13" spans="1:17" x14ac:dyDescent="0.25">
      <c r="A13" s="12"/>
      <c r="B13" s="8" t="s">
        <v>17</v>
      </c>
      <c r="C13">
        <v>366.05</v>
      </c>
      <c r="D13">
        <v>366.05</v>
      </c>
      <c r="E13">
        <v>366.05</v>
      </c>
      <c r="F13">
        <v>366.05</v>
      </c>
      <c r="G13">
        <v>366.05</v>
      </c>
      <c r="H13">
        <v>366.05</v>
      </c>
      <c r="I13">
        <v>366.05</v>
      </c>
      <c r="J13">
        <v>366.05</v>
      </c>
      <c r="K13">
        <v>366.05</v>
      </c>
      <c r="L13">
        <v>366.05</v>
      </c>
      <c r="M13">
        <v>366.05</v>
      </c>
      <c r="N13">
        <v>366.05</v>
      </c>
      <c r="O13">
        <v>366.05</v>
      </c>
      <c r="P13">
        <v>366.05</v>
      </c>
      <c r="Q13">
        <v>366.05</v>
      </c>
    </row>
    <row r="14" spans="1:17" x14ac:dyDescent="0.25">
      <c r="A14" s="12"/>
      <c r="B14" s="8" t="s">
        <v>18</v>
      </c>
      <c r="C14">
        <v>60</v>
      </c>
      <c r="D14">
        <v>65</v>
      </c>
      <c r="E14">
        <v>57</v>
      </c>
      <c r="F14">
        <v>73</v>
      </c>
      <c r="G14">
        <v>62</v>
      </c>
      <c r="H14">
        <v>67</v>
      </c>
      <c r="I14">
        <v>74</v>
      </c>
      <c r="J14">
        <v>65</v>
      </c>
      <c r="K14">
        <v>70</v>
      </c>
      <c r="L14">
        <v>75</v>
      </c>
      <c r="M14">
        <v>62.5</v>
      </c>
      <c r="N14">
        <v>69</v>
      </c>
      <c r="O14">
        <v>60</v>
      </c>
      <c r="P14">
        <v>64</v>
      </c>
    </row>
    <row r="15" spans="1:17" s="2" customFormat="1" x14ac:dyDescent="0.25">
      <c r="A15" s="13"/>
      <c r="B15" s="9" t="s">
        <v>19</v>
      </c>
    </row>
    <row r="16" spans="1:17" x14ac:dyDescent="0.25">
      <c r="B16" s="5" t="s">
        <v>20</v>
      </c>
      <c r="C16">
        <f t="shared" ref="C16:K16" si="1">C6*COS(RADIANS(C9-3.05))*C13/1000</f>
        <v>6.8530172364026392</v>
      </c>
      <c r="D16">
        <f t="shared" si="1"/>
        <v>3.0616448382428998</v>
      </c>
      <c r="E16">
        <f t="shared" si="1"/>
        <v>1.7567434855432555</v>
      </c>
      <c r="F16">
        <f t="shared" si="1"/>
        <v>0.42875300427896085</v>
      </c>
      <c r="G16">
        <f t="shared" si="1"/>
        <v>0.96291824494655998</v>
      </c>
      <c r="H16">
        <f t="shared" si="1"/>
        <v>1.4332513689040982</v>
      </c>
      <c r="I16">
        <f t="shared" si="1"/>
        <v>0.35309782369307174</v>
      </c>
      <c r="J16">
        <f t="shared" si="1"/>
        <v>6.2252989619399299</v>
      </c>
      <c r="K16">
        <f t="shared" si="1"/>
        <v>1.0541046558415272</v>
      </c>
      <c r="L16">
        <f t="shared" ref="L16:Q16" si="2">L6*COS(RADIANS(L9-2.83))*L13/1000</f>
        <v>1.235368116067078</v>
      </c>
      <c r="M16">
        <f t="shared" si="2"/>
        <v>6.0420429311128272</v>
      </c>
      <c r="N16">
        <f t="shared" si="2"/>
        <v>3.2343374006094714</v>
      </c>
      <c r="O16">
        <f t="shared" si="2"/>
        <v>10.360519153738428</v>
      </c>
      <c r="P16">
        <f t="shared" si="2"/>
        <v>6.0809498055103717</v>
      </c>
      <c r="Q16">
        <f t="shared" si="2"/>
        <v>0</v>
      </c>
    </row>
    <row r="17" spans="2:15" x14ac:dyDescent="0.25">
      <c r="J17" t="s">
        <v>28</v>
      </c>
    </row>
    <row r="18" spans="2:15" x14ac:dyDescent="0.25">
      <c r="O18" t="s">
        <v>29</v>
      </c>
    </row>
    <row r="19" spans="2:15" x14ac:dyDescent="0.25">
      <c r="O19" t="s">
        <v>30</v>
      </c>
    </row>
    <row r="20" spans="2:15" x14ac:dyDescent="0.25">
      <c r="B20" s="3" t="s">
        <v>22</v>
      </c>
      <c r="C20" s="3" t="s">
        <v>21</v>
      </c>
    </row>
    <row r="21" spans="2:15" x14ac:dyDescent="0.25">
      <c r="C21">
        <v>6.1297215268519301</v>
      </c>
      <c r="K21" t="s">
        <v>31</v>
      </c>
    </row>
    <row r="22" spans="2:15" x14ac:dyDescent="0.25">
      <c r="C22">
        <v>2.7479725044346299</v>
      </c>
      <c r="K22" t="s">
        <v>32</v>
      </c>
      <c r="L22" t="s">
        <v>33</v>
      </c>
      <c r="M22" t="s">
        <v>34</v>
      </c>
    </row>
    <row r="23" spans="2:15" x14ac:dyDescent="0.25">
      <c r="C23">
        <v>1.5877091527759399</v>
      </c>
      <c r="K23">
        <v>2.163E-2</v>
      </c>
      <c r="L23">
        <v>-7.1639999999999995E-2</v>
      </c>
      <c r="M23">
        <v>0</v>
      </c>
    </row>
    <row r="24" spans="2:15" x14ac:dyDescent="0.25">
      <c r="C24">
        <v>0.39396830053809201</v>
      </c>
    </row>
    <row r="25" spans="2:15" x14ac:dyDescent="0.25">
      <c r="C25">
        <v>0.87997523971335201</v>
      </c>
      <c r="K25" t="s">
        <v>31</v>
      </c>
    </row>
    <row r="26" spans="2:15" x14ac:dyDescent="0.25">
      <c r="C26">
        <v>1.3017605698980601</v>
      </c>
      <c r="K26" t="s">
        <v>32</v>
      </c>
      <c r="L26" t="s">
        <v>33</v>
      </c>
      <c r="M26" t="s">
        <v>34</v>
      </c>
    </row>
    <row r="27" spans="2:15" x14ac:dyDescent="0.25">
      <c r="C27">
        <v>0.32710826122173697</v>
      </c>
      <c r="K27">
        <v>3.7760000000000002E-2</v>
      </c>
      <c r="L27">
        <v>-2.4809999999999999E-2</v>
      </c>
      <c r="M27">
        <v>0</v>
      </c>
    </row>
    <row r="28" spans="2:15" x14ac:dyDescent="0.25">
      <c r="C28">
        <v>5.7663175704745298</v>
      </c>
    </row>
    <row r="29" spans="2:15" x14ac:dyDescent="0.25">
      <c r="C29">
        <v>0.99793195771798704</v>
      </c>
    </row>
    <row r="30" spans="2:15" x14ac:dyDescent="0.25">
      <c r="C30">
        <v>1.17473937755851</v>
      </c>
    </row>
    <row r="31" spans="2:15" x14ac:dyDescent="0.25">
      <c r="C31">
        <v>5.6669972560913404</v>
      </c>
    </row>
    <row r="32" spans="2:15" x14ac:dyDescent="0.25">
      <c r="C32">
        <v>3.0532323371378101</v>
      </c>
    </row>
    <row r="33" spans="3:3" x14ac:dyDescent="0.25">
      <c r="C33">
        <v>9.8822570388584001</v>
      </c>
    </row>
    <row r="34" spans="3:3" x14ac:dyDescent="0.25">
      <c r="C34">
        <v>5.8339811315985299</v>
      </c>
    </row>
  </sheetData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7"/>
  <sheetViews>
    <sheetView topLeftCell="A4" workbookViewId="0">
      <selection activeCell="G33" sqref="G33"/>
    </sheetView>
  </sheetViews>
  <sheetFormatPr defaultRowHeight="15" x14ac:dyDescent="0.25"/>
  <cols>
    <col min="1" max="1" width="9.140625" style="3" customWidth="1"/>
    <col min="2" max="2" width="25.140625" style="3" customWidth="1"/>
    <col min="3" max="3" width="12.28515625" customWidth="1"/>
    <col min="5" max="5" width="8.7109375" customWidth="1"/>
    <col min="6" max="6" width="11.28515625" customWidth="1"/>
    <col min="7" max="7" width="13.28515625" customWidth="1"/>
    <col min="8" max="9" width="13.42578125" customWidth="1"/>
    <col min="10" max="10" width="14" customWidth="1"/>
  </cols>
  <sheetData>
    <row r="1" spans="1:17" x14ac:dyDescent="0.25">
      <c r="A1" s="3" t="s">
        <v>23</v>
      </c>
    </row>
    <row r="2" spans="1:17" x14ac:dyDescent="0.25">
      <c r="A2" s="3" t="s">
        <v>1</v>
      </c>
      <c r="C2">
        <v>557</v>
      </c>
    </row>
    <row r="3" spans="1:17" x14ac:dyDescent="0.25">
      <c r="B3" s="3" t="s">
        <v>4</v>
      </c>
      <c r="C3">
        <f>C2-C2*0.17</f>
        <v>462.31</v>
      </c>
    </row>
    <row r="4" spans="1:17" x14ac:dyDescent="0.25">
      <c r="B4" s="3" t="s">
        <v>24</v>
      </c>
      <c r="C4">
        <v>90</v>
      </c>
    </row>
    <row r="5" spans="1:17" s="10" customFormat="1" x14ac:dyDescent="0.25">
      <c r="B5" s="4" t="s">
        <v>7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</row>
    <row r="6" spans="1:17" x14ac:dyDescent="0.25">
      <c r="B6" s="5" t="s">
        <v>8</v>
      </c>
      <c r="C6">
        <v>84.117999999999995</v>
      </c>
      <c r="D6">
        <v>124</v>
      </c>
    </row>
    <row r="7" spans="1:17" x14ac:dyDescent="0.25">
      <c r="B7" s="6" t="s">
        <v>9</v>
      </c>
      <c r="C7">
        <v>6</v>
      </c>
      <c r="D7">
        <v>-16</v>
      </c>
    </row>
    <row r="8" spans="1:17" x14ac:dyDescent="0.25">
      <c r="B8" s="4" t="s">
        <v>35</v>
      </c>
      <c r="C8">
        <v>604</v>
      </c>
      <c r="D8">
        <v>530</v>
      </c>
    </row>
    <row r="9" spans="1:17" s="1" customFormat="1" x14ac:dyDescent="0.25">
      <c r="A9" s="11" t="s">
        <v>11</v>
      </c>
      <c r="B9" s="7" t="s">
        <v>12</v>
      </c>
      <c r="C9" s="1">
        <v>16.5</v>
      </c>
    </row>
    <row r="10" spans="1:17" x14ac:dyDescent="0.25">
      <c r="A10" s="12"/>
      <c r="B10" s="8" t="s">
        <v>13</v>
      </c>
      <c r="C10">
        <v>14.6</v>
      </c>
      <c r="D10">
        <v>14.6</v>
      </c>
      <c r="E10">
        <v>14.6</v>
      </c>
      <c r="F10">
        <v>14.6</v>
      </c>
      <c r="G10">
        <v>14.6</v>
      </c>
      <c r="H10">
        <v>14.6</v>
      </c>
      <c r="I10">
        <v>14.6</v>
      </c>
      <c r="J10">
        <v>14.6</v>
      </c>
      <c r="K10">
        <v>14.6</v>
      </c>
      <c r="L10">
        <v>14.6</v>
      </c>
      <c r="M10">
        <v>14.6</v>
      </c>
      <c r="N10">
        <v>14.6</v>
      </c>
      <c r="O10">
        <v>14.6</v>
      </c>
      <c r="P10">
        <v>14.6</v>
      </c>
      <c r="Q10">
        <v>14.6</v>
      </c>
    </row>
    <row r="11" spans="1:17" x14ac:dyDescent="0.25">
      <c r="A11" s="12"/>
      <c r="B11" s="8" t="s">
        <v>14</v>
      </c>
      <c r="C11">
        <v>399</v>
      </c>
    </row>
    <row r="12" spans="1:17" x14ac:dyDescent="0.25">
      <c r="A12" s="12"/>
      <c r="B12" s="8" t="s">
        <v>36</v>
      </c>
      <c r="C12">
        <f>($C$2-C11)/$C$2</f>
        <v>0.28366247755834828</v>
      </c>
    </row>
    <row r="13" spans="1:17" s="1" customFormat="1" x14ac:dyDescent="0.25">
      <c r="A13" s="11" t="s">
        <v>15</v>
      </c>
      <c r="B13" s="7" t="s">
        <v>16</v>
      </c>
    </row>
    <row r="14" spans="1:17" x14ac:dyDescent="0.25">
      <c r="A14" s="12"/>
      <c r="B14" s="8" t="s">
        <v>17</v>
      </c>
      <c r="C14">
        <v>240.61</v>
      </c>
      <c r="D14">
        <v>240.61</v>
      </c>
      <c r="E14">
        <v>240.61</v>
      </c>
      <c r="F14">
        <v>240.61</v>
      </c>
      <c r="G14">
        <v>240.61</v>
      </c>
      <c r="H14">
        <v>240.61</v>
      </c>
      <c r="I14">
        <v>240.61</v>
      </c>
      <c r="J14">
        <v>240.61</v>
      </c>
      <c r="K14">
        <v>240.61</v>
      </c>
      <c r="L14">
        <v>240.61</v>
      </c>
      <c r="M14">
        <v>240.61</v>
      </c>
      <c r="N14">
        <v>240.61</v>
      </c>
      <c r="O14">
        <v>240.61</v>
      </c>
      <c r="P14">
        <v>240.61</v>
      </c>
      <c r="Q14">
        <v>240.61</v>
      </c>
    </row>
    <row r="15" spans="1:17" x14ac:dyDescent="0.25">
      <c r="A15" s="12"/>
      <c r="B15" s="8" t="s">
        <v>18</v>
      </c>
      <c r="C15">
        <v>65</v>
      </c>
    </row>
    <row r="16" spans="1:17" s="2" customFormat="1" x14ac:dyDescent="0.25">
      <c r="A16" s="13"/>
      <c r="B16" s="9" t="s">
        <v>19</v>
      </c>
    </row>
    <row r="17" spans="2:17" x14ac:dyDescent="0.25">
      <c r="B17" s="5" t="s">
        <v>20</v>
      </c>
      <c r="C17">
        <f>C6*COS(RADIANS(C10-4.2))*C14/1000</f>
        <v>19.907124595290242</v>
      </c>
      <c r="D17">
        <f>D6*COS(RADIANS(D10-5))*D14/1000</f>
        <v>29.41782280346224</v>
      </c>
      <c r="E17">
        <f t="shared" ref="E17:Q17" si="0">E6*COS(RADIANS(E10))*E14/1000</f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  <c r="K17">
        <f t="shared" si="0"/>
        <v>0</v>
      </c>
      <c r="L17">
        <f t="shared" si="0"/>
        <v>0</v>
      </c>
      <c r="M17">
        <f t="shared" si="0"/>
        <v>0</v>
      </c>
      <c r="N17">
        <f t="shared" si="0"/>
        <v>0</v>
      </c>
      <c r="O17">
        <f t="shared" si="0"/>
        <v>0</v>
      </c>
      <c r="P17">
        <f t="shared" si="0"/>
        <v>0</v>
      </c>
      <c r="Q17">
        <f t="shared" si="0"/>
        <v>0</v>
      </c>
    </row>
    <row r="18" spans="2:17" x14ac:dyDescent="0.25">
      <c r="B18" s="4" t="s">
        <v>37</v>
      </c>
      <c r="C18">
        <v>30.556999999999999</v>
      </c>
      <c r="D18">
        <v>48</v>
      </c>
    </row>
    <row r="19" spans="2:17" x14ac:dyDescent="0.25">
      <c r="D19" t="s">
        <v>38</v>
      </c>
    </row>
    <row r="21" spans="2:17" x14ac:dyDescent="0.25">
      <c r="C21" t="s">
        <v>31</v>
      </c>
      <c r="I21" s="3" t="s">
        <v>22</v>
      </c>
      <c r="J21" s="3" t="s">
        <v>21</v>
      </c>
    </row>
    <row r="22" spans="2:17" x14ac:dyDescent="0.25">
      <c r="C22" t="s">
        <v>32</v>
      </c>
      <c r="D22" t="s">
        <v>33</v>
      </c>
      <c r="E22" t="s">
        <v>34</v>
      </c>
      <c r="G22" t="s">
        <v>39</v>
      </c>
      <c r="I22" s="3"/>
      <c r="J22">
        <v>18.260899999999999</v>
      </c>
    </row>
    <row r="23" spans="2:17" x14ac:dyDescent="0.25">
      <c r="C23">
        <v>2.018E-2</v>
      </c>
      <c r="D23">
        <v>-0.11126999999999999</v>
      </c>
      <c r="E23">
        <v>0</v>
      </c>
    </row>
    <row r="25" spans="2:17" x14ac:dyDescent="0.25">
      <c r="C25" t="s">
        <v>31</v>
      </c>
    </row>
    <row r="26" spans="2:17" x14ac:dyDescent="0.25">
      <c r="C26" t="s">
        <v>32</v>
      </c>
      <c r="D26" t="s">
        <v>33</v>
      </c>
      <c r="E26" t="s">
        <v>34</v>
      </c>
      <c r="G26" t="s">
        <v>40</v>
      </c>
    </row>
    <row r="27" spans="2:17" x14ac:dyDescent="0.25">
      <c r="C27">
        <v>3.619E-2</v>
      </c>
      <c r="D27">
        <v>-6.3950000000000007E-2</v>
      </c>
      <c r="E27">
        <v>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EFBF4-5987-49CA-839E-BE22E507CBB9}">
  <dimension ref="A1:X21"/>
  <sheetViews>
    <sheetView workbookViewId="0">
      <selection activeCell="G21" sqref="G21"/>
    </sheetView>
  </sheetViews>
  <sheetFormatPr defaultRowHeight="15" x14ac:dyDescent="0.25"/>
  <cols>
    <col min="1" max="1" width="9.140625" customWidth="1"/>
    <col min="2" max="2" width="25.140625" customWidth="1"/>
    <col min="3" max="3" width="12.28515625" customWidth="1"/>
    <col min="5" max="5" width="8.7109375" customWidth="1"/>
    <col min="6" max="6" width="11.28515625" customWidth="1"/>
    <col min="7" max="7" width="13.28515625" customWidth="1"/>
    <col min="8" max="8" width="13.42578125" customWidth="1"/>
    <col min="10" max="10" width="14" customWidth="1"/>
  </cols>
  <sheetData>
    <row r="1" spans="1:24" x14ac:dyDescent="0.25">
      <c r="A1" s="3" t="s">
        <v>41</v>
      </c>
      <c r="C1" t="s">
        <v>55</v>
      </c>
      <c r="D1" t="s">
        <v>56</v>
      </c>
      <c r="F1" t="s">
        <v>55</v>
      </c>
      <c r="G1" t="s">
        <v>56</v>
      </c>
      <c r="I1" t="s">
        <v>55</v>
      </c>
      <c r="J1" t="s">
        <v>56</v>
      </c>
    </row>
    <row r="2" spans="1:24" x14ac:dyDescent="0.25">
      <c r="A2" s="3" t="s">
        <v>1</v>
      </c>
    </row>
    <row r="3" spans="1:24" x14ac:dyDescent="0.25">
      <c r="B3" s="3" t="s">
        <v>4</v>
      </c>
      <c r="E3" s="14" t="s">
        <v>5</v>
      </c>
      <c r="H3" t="s">
        <v>57</v>
      </c>
    </row>
    <row r="4" spans="1:24" ht="15.75" thickBot="1" x14ac:dyDescent="0.3">
      <c r="B4" s="3" t="s">
        <v>6</v>
      </c>
      <c r="E4" s="39" t="s">
        <v>5</v>
      </c>
    </row>
    <row r="5" spans="1:24" ht="15.75" thickBot="1" x14ac:dyDescent="0.3">
      <c r="B5" s="24" t="s">
        <v>7</v>
      </c>
      <c r="C5" s="35">
        <v>1</v>
      </c>
      <c r="D5" s="35">
        <v>2</v>
      </c>
      <c r="E5" s="35">
        <v>3</v>
      </c>
      <c r="F5" s="35">
        <v>4</v>
      </c>
      <c r="G5" s="35">
        <v>5</v>
      </c>
      <c r="H5" s="35">
        <v>6</v>
      </c>
      <c r="I5" s="35">
        <v>7</v>
      </c>
      <c r="J5" s="35">
        <v>8</v>
      </c>
      <c r="K5" s="35">
        <v>9</v>
      </c>
      <c r="L5" s="35">
        <v>10</v>
      </c>
      <c r="M5" s="35">
        <v>11</v>
      </c>
      <c r="N5" s="35">
        <v>12</v>
      </c>
      <c r="O5" s="35">
        <v>13</v>
      </c>
      <c r="P5" s="35">
        <v>14</v>
      </c>
      <c r="Q5" s="35">
        <v>15</v>
      </c>
      <c r="R5" s="35">
        <v>16</v>
      </c>
      <c r="S5" s="35">
        <v>17</v>
      </c>
      <c r="T5" s="35">
        <v>18</v>
      </c>
      <c r="U5" s="35">
        <v>19</v>
      </c>
      <c r="V5" s="35">
        <v>20</v>
      </c>
      <c r="W5" s="35">
        <v>21</v>
      </c>
      <c r="X5" s="35">
        <v>22</v>
      </c>
    </row>
    <row r="6" spans="1:24" x14ac:dyDescent="0.25">
      <c r="B6" s="13" t="s">
        <v>8</v>
      </c>
      <c r="C6" s="36">
        <v>3.7</v>
      </c>
      <c r="D6" s="36">
        <v>25.2</v>
      </c>
      <c r="E6" s="36">
        <v>76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</row>
    <row r="7" spans="1:24" x14ac:dyDescent="0.25">
      <c r="B7" s="11" t="s">
        <v>9</v>
      </c>
      <c r="C7" s="37">
        <v>10</v>
      </c>
      <c r="D7" s="37">
        <v>11</v>
      </c>
      <c r="E7" s="37">
        <v>10</v>
      </c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</row>
    <row r="8" spans="1:24" ht="15.75" thickBot="1" x14ac:dyDescent="0.3">
      <c r="B8" s="29" t="s">
        <v>10</v>
      </c>
      <c r="C8" s="38">
        <v>388.5</v>
      </c>
      <c r="D8" s="38">
        <v>388</v>
      </c>
      <c r="E8" s="38">
        <v>592</v>
      </c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</row>
    <row r="9" spans="1:24" x14ac:dyDescent="0.25">
      <c r="A9" s="12" t="s">
        <v>11</v>
      </c>
      <c r="B9" s="3" t="s">
        <v>12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</row>
    <row r="10" spans="1:24" x14ac:dyDescent="0.25">
      <c r="B10" s="3" t="s">
        <v>13</v>
      </c>
      <c r="C10" s="37">
        <v>72.5</v>
      </c>
      <c r="D10" s="37">
        <v>70</v>
      </c>
      <c r="E10" s="37">
        <v>68</v>
      </c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</row>
    <row r="11" spans="1:24" ht="15.75" thickBot="1" x14ac:dyDescent="0.3">
      <c r="B11" s="28" t="s">
        <v>14</v>
      </c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</row>
    <row r="12" spans="1:24" x14ac:dyDescent="0.25">
      <c r="A12" s="12" t="s">
        <v>15</v>
      </c>
      <c r="B12" s="3" t="s">
        <v>16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</row>
    <row r="13" spans="1:24" x14ac:dyDescent="0.25">
      <c r="B13" s="3" t="s">
        <v>17</v>
      </c>
      <c r="C13" s="37">
        <v>292.89999999999998</v>
      </c>
      <c r="D13" s="37">
        <v>292.89999999999998</v>
      </c>
      <c r="E13" s="37">
        <v>292.89999999999998</v>
      </c>
      <c r="F13" s="37">
        <v>292.89999999999998</v>
      </c>
      <c r="G13" s="37">
        <v>292.89999999999998</v>
      </c>
      <c r="H13" s="37">
        <v>292.89999999999998</v>
      </c>
      <c r="I13" s="37">
        <v>292.89999999999998</v>
      </c>
      <c r="J13" s="37">
        <v>292.89999999999998</v>
      </c>
      <c r="K13" s="37">
        <v>292.89999999999998</v>
      </c>
      <c r="L13" s="37">
        <v>292.89999999999998</v>
      </c>
      <c r="M13" s="37">
        <v>292.89999999999998</v>
      </c>
      <c r="N13" s="37">
        <v>292.89999999999998</v>
      </c>
      <c r="O13" s="37">
        <v>292.89999999999998</v>
      </c>
      <c r="P13" s="37">
        <v>292.89999999999998</v>
      </c>
      <c r="Q13" s="37">
        <v>292.89999999999998</v>
      </c>
      <c r="R13" s="37">
        <v>292.89999999999998</v>
      </c>
      <c r="S13" s="37">
        <v>292.89999999999998</v>
      </c>
      <c r="T13" s="37">
        <v>292.89999999999998</v>
      </c>
      <c r="U13" s="37">
        <v>292.89999999999998</v>
      </c>
      <c r="V13" s="37">
        <v>292.89999999999998</v>
      </c>
      <c r="W13" s="37">
        <v>292.89999999999998</v>
      </c>
      <c r="X13" s="37">
        <v>292.89999999999998</v>
      </c>
    </row>
    <row r="14" spans="1:24" x14ac:dyDescent="0.25">
      <c r="B14" s="3" t="s">
        <v>18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</row>
    <row r="15" spans="1:24" ht="15.75" thickBot="1" x14ac:dyDescent="0.3">
      <c r="B15" s="28" t="s">
        <v>19</v>
      </c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</row>
    <row r="16" spans="1:24" x14ac:dyDescent="0.25">
      <c r="B16" t="s">
        <v>58</v>
      </c>
      <c r="C16" s="36">
        <f>C6*SIN(RADIANS(C10+0.83))*C13/1000</f>
        <v>1.0381838898090796</v>
      </c>
      <c r="D16" s="36">
        <f t="shared" ref="D16:X16" si="0">D6*SIN(RADIANS(D10+0.83))*D13/1000</f>
        <v>6.9717875622415679</v>
      </c>
      <c r="E16" s="36">
        <f t="shared" si="0"/>
        <v>20.758112821237887</v>
      </c>
      <c r="F16" s="36">
        <f t="shared" si="0"/>
        <v>0</v>
      </c>
      <c r="G16" s="36">
        <f t="shared" si="0"/>
        <v>0</v>
      </c>
      <c r="H16" s="36">
        <f t="shared" si="0"/>
        <v>0</v>
      </c>
      <c r="I16" s="36">
        <f t="shared" si="0"/>
        <v>0</v>
      </c>
      <c r="J16" s="36">
        <f t="shared" si="0"/>
        <v>0</v>
      </c>
      <c r="K16" s="36">
        <f t="shared" si="0"/>
        <v>0</v>
      </c>
      <c r="L16" s="36">
        <f t="shared" si="0"/>
        <v>0</v>
      </c>
      <c r="M16" s="36">
        <f t="shared" si="0"/>
        <v>0</v>
      </c>
      <c r="N16" s="36">
        <f t="shared" si="0"/>
        <v>0</v>
      </c>
      <c r="O16" s="36">
        <f t="shared" si="0"/>
        <v>0</v>
      </c>
      <c r="P16" s="36">
        <f t="shared" si="0"/>
        <v>0</v>
      </c>
      <c r="Q16" s="36">
        <f t="shared" si="0"/>
        <v>0</v>
      </c>
      <c r="R16" s="36">
        <f t="shared" si="0"/>
        <v>0</v>
      </c>
      <c r="S16" s="36">
        <f t="shared" si="0"/>
        <v>0</v>
      </c>
      <c r="T16" s="36">
        <f t="shared" si="0"/>
        <v>0</v>
      </c>
      <c r="U16" s="36">
        <f t="shared" si="0"/>
        <v>0</v>
      </c>
      <c r="V16" s="36">
        <f t="shared" si="0"/>
        <v>0</v>
      </c>
      <c r="W16" s="36">
        <f t="shared" si="0"/>
        <v>0</v>
      </c>
      <c r="X16" s="36">
        <f t="shared" si="0"/>
        <v>0</v>
      </c>
    </row>
    <row r="17" spans="2:24" x14ac:dyDescent="0.25">
      <c r="B17" s="3" t="s">
        <v>21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21" spans="2:24" x14ac:dyDescent="0.25">
      <c r="B21" s="3" t="s">
        <v>22</v>
      </c>
      <c r="C21" s="3" t="s">
        <v>21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ABF78-C1E8-448F-AF95-D36F16313176}">
  <dimension ref="A1:X28"/>
  <sheetViews>
    <sheetView tabSelected="1" topLeftCell="A4" workbookViewId="0">
      <selection activeCell="C8" sqref="C8:K8"/>
    </sheetView>
  </sheetViews>
  <sheetFormatPr defaultRowHeight="15" x14ac:dyDescent="0.25"/>
  <cols>
    <col min="1" max="1" width="9.140625" customWidth="1"/>
    <col min="2" max="2" width="25.140625" customWidth="1"/>
    <col min="3" max="3" width="12.28515625" customWidth="1"/>
    <col min="5" max="5" width="8.7109375" customWidth="1"/>
    <col min="6" max="6" width="11.28515625" customWidth="1"/>
    <col min="7" max="7" width="13.28515625" customWidth="1"/>
    <col min="8" max="8" width="13.42578125" customWidth="1"/>
    <col min="10" max="10" width="14" customWidth="1"/>
  </cols>
  <sheetData>
    <row r="1" spans="1:24" x14ac:dyDescent="0.25">
      <c r="A1" s="3" t="s">
        <v>41</v>
      </c>
      <c r="C1" t="s">
        <v>55</v>
      </c>
      <c r="D1" t="s">
        <v>56</v>
      </c>
      <c r="F1" t="s">
        <v>55</v>
      </c>
      <c r="G1" t="s">
        <v>56</v>
      </c>
      <c r="I1" t="s">
        <v>55</v>
      </c>
      <c r="J1" t="s">
        <v>56</v>
      </c>
    </row>
    <row r="2" spans="1:24" x14ac:dyDescent="0.25">
      <c r="A2" s="3" t="s">
        <v>1</v>
      </c>
    </row>
    <row r="3" spans="1:24" x14ac:dyDescent="0.25">
      <c r="B3" s="3" t="s">
        <v>4</v>
      </c>
      <c r="E3" s="14" t="s">
        <v>5</v>
      </c>
      <c r="H3" t="s">
        <v>57</v>
      </c>
    </row>
    <row r="4" spans="1:24" ht="15.75" thickBot="1" x14ac:dyDescent="0.3">
      <c r="B4" s="3" t="s">
        <v>6</v>
      </c>
      <c r="E4" s="39" t="s">
        <v>5</v>
      </c>
    </row>
    <row r="5" spans="1:24" ht="15.75" thickBot="1" x14ac:dyDescent="0.3">
      <c r="B5" s="24" t="s">
        <v>7</v>
      </c>
      <c r="C5" s="35">
        <v>1</v>
      </c>
      <c r="D5" s="35">
        <v>2</v>
      </c>
      <c r="E5" s="35">
        <v>3</v>
      </c>
      <c r="F5" s="35">
        <v>4</v>
      </c>
      <c r="G5" s="35">
        <v>5</v>
      </c>
      <c r="H5" s="35">
        <v>6</v>
      </c>
      <c r="I5" s="35">
        <v>7</v>
      </c>
      <c r="J5" s="35">
        <v>8</v>
      </c>
      <c r="K5" s="35">
        <v>9</v>
      </c>
      <c r="L5" s="35">
        <v>10</v>
      </c>
      <c r="M5" s="35">
        <v>11</v>
      </c>
      <c r="N5" s="35">
        <v>12</v>
      </c>
      <c r="O5" s="35">
        <v>13</v>
      </c>
      <c r="P5" s="35">
        <v>14</v>
      </c>
      <c r="Q5" s="35">
        <v>15</v>
      </c>
      <c r="R5" s="35">
        <v>16</v>
      </c>
      <c r="S5" s="35">
        <v>17</v>
      </c>
      <c r="T5" s="35">
        <v>18</v>
      </c>
      <c r="U5" s="35">
        <v>19</v>
      </c>
      <c r="V5" s="35">
        <v>20</v>
      </c>
      <c r="W5" s="35">
        <v>21</v>
      </c>
      <c r="X5" s="35">
        <v>22</v>
      </c>
    </row>
    <row r="6" spans="1:24" x14ac:dyDescent="0.25">
      <c r="B6" s="13" t="s">
        <v>8</v>
      </c>
      <c r="C6" s="36">
        <v>180.2</v>
      </c>
      <c r="D6" s="36">
        <v>181.5</v>
      </c>
      <c r="E6" s="36">
        <v>168</v>
      </c>
      <c r="F6" s="36">
        <v>181</v>
      </c>
      <c r="G6" s="36">
        <v>116</v>
      </c>
      <c r="H6" s="36">
        <v>100</v>
      </c>
      <c r="I6" s="36">
        <v>126</v>
      </c>
      <c r="J6" s="36">
        <v>173.4</v>
      </c>
      <c r="K6" s="36">
        <v>140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</row>
    <row r="7" spans="1:24" x14ac:dyDescent="0.25">
      <c r="B7" s="11" t="s">
        <v>9</v>
      </c>
      <c r="C7" s="37">
        <v>-26.2</v>
      </c>
      <c r="D7" s="37">
        <v>-30</v>
      </c>
      <c r="E7" s="37">
        <v>-61</v>
      </c>
      <c r="F7" s="37">
        <v>-43</v>
      </c>
      <c r="G7" s="37">
        <v>-119</v>
      </c>
      <c r="H7" s="37">
        <v>5</v>
      </c>
      <c r="I7" s="37">
        <v>-1</v>
      </c>
      <c r="J7" s="37">
        <v>-22</v>
      </c>
      <c r="K7" s="37">
        <v>-86.5</v>
      </c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</row>
    <row r="8" spans="1:24" ht="15.75" thickBot="1" x14ac:dyDescent="0.3">
      <c r="B8" s="29" t="s">
        <v>10</v>
      </c>
      <c r="C8" s="38">
        <v>437</v>
      </c>
      <c r="D8" s="38">
        <v>420</v>
      </c>
      <c r="E8" s="38">
        <v>425</v>
      </c>
      <c r="F8" s="38">
        <v>435</v>
      </c>
      <c r="G8" s="38">
        <v>256</v>
      </c>
      <c r="H8" s="38">
        <v>480</v>
      </c>
      <c r="I8" s="38">
        <v>488</v>
      </c>
      <c r="J8" s="38">
        <v>435</v>
      </c>
      <c r="K8" s="38">
        <v>350</v>
      </c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</row>
    <row r="9" spans="1:24" x14ac:dyDescent="0.25">
      <c r="A9" s="12" t="s">
        <v>11</v>
      </c>
      <c r="B9" s="3" t="s">
        <v>12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</row>
    <row r="10" spans="1:24" x14ac:dyDescent="0.25">
      <c r="B10" s="3" t="s">
        <v>13</v>
      </c>
      <c r="C10" s="37">
        <v>28</v>
      </c>
      <c r="D10" s="37">
        <v>26</v>
      </c>
      <c r="E10" s="37">
        <v>23</v>
      </c>
      <c r="F10" s="37">
        <v>27</v>
      </c>
      <c r="G10" s="37">
        <v>10.5</v>
      </c>
      <c r="H10" s="37">
        <v>21</v>
      </c>
      <c r="I10" s="37">
        <v>27</v>
      </c>
      <c r="J10" s="37">
        <v>28</v>
      </c>
      <c r="K10" s="37">
        <v>22</v>
      </c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</row>
    <row r="11" spans="1:24" ht="15.75" thickBot="1" x14ac:dyDescent="0.3">
      <c r="B11" s="28" t="s">
        <v>14</v>
      </c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</row>
    <row r="12" spans="1:24" x14ac:dyDescent="0.25">
      <c r="A12" s="12" t="s">
        <v>15</v>
      </c>
      <c r="B12" s="3" t="s">
        <v>16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</row>
    <row r="13" spans="1:24" x14ac:dyDescent="0.25">
      <c r="B13" s="3" t="s">
        <v>17</v>
      </c>
      <c r="C13" s="37">
        <v>259.89999999999998</v>
      </c>
      <c r="D13" s="37">
        <v>259.89999999999998</v>
      </c>
      <c r="E13" s="37">
        <v>259.89999999999998</v>
      </c>
      <c r="F13" s="37">
        <v>259.89999999999998</v>
      </c>
      <c r="G13" s="37">
        <v>259.89999999999998</v>
      </c>
      <c r="H13" s="37">
        <v>259.89999999999998</v>
      </c>
      <c r="I13" s="37">
        <v>259.89999999999998</v>
      </c>
      <c r="J13" s="37">
        <v>259.89999999999998</v>
      </c>
      <c r="K13" s="37">
        <v>259.89999999999998</v>
      </c>
      <c r="L13" s="37">
        <v>259.89999999999998</v>
      </c>
      <c r="M13" s="37">
        <v>259.89999999999998</v>
      </c>
      <c r="N13" s="37">
        <v>259.89999999999998</v>
      </c>
      <c r="O13" s="37">
        <v>259.89999999999998</v>
      </c>
      <c r="P13" s="37">
        <v>259.89999999999998</v>
      </c>
      <c r="Q13" s="37">
        <v>259.89999999999998</v>
      </c>
      <c r="R13" s="37">
        <v>259.89999999999998</v>
      </c>
      <c r="S13" s="37">
        <v>259.89999999999998</v>
      </c>
      <c r="T13" s="37">
        <v>259.89999999999998</v>
      </c>
      <c r="U13" s="37">
        <v>259.89999999999998</v>
      </c>
      <c r="V13" s="37">
        <v>259.89999999999998</v>
      </c>
      <c r="W13" s="37">
        <v>259.89999999999998</v>
      </c>
      <c r="X13" s="37">
        <v>259.89999999999998</v>
      </c>
    </row>
    <row r="14" spans="1:24" x14ac:dyDescent="0.25">
      <c r="B14" s="3" t="s">
        <v>18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</row>
    <row r="15" spans="1:24" ht="15.75" thickBot="1" x14ac:dyDescent="0.3">
      <c r="B15" s="28" t="s">
        <v>19</v>
      </c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</row>
    <row r="16" spans="1:24" x14ac:dyDescent="0.25">
      <c r="B16" t="s">
        <v>58</v>
      </c>
      <c r="C16" s="36">
        <f>C6*COS(RADIANS(C10-11.1))*C13/1000</f>
        <v>44.8113882594823</v>
      </c>
      <c r="D16" s="36">
        <f t="shared" ref="D16:X16" si="0">D6*COS(RADIANS(D10-11.1))*D13/1000</f>
        <v>45.585747457333838</v>
      </c>
      <c r="E16" s="36">
        <f t="shared" si="0"/>
        <v>42.724833518295966</v>
      </c>
      <c r="F16" s="36">
        <f t="shared" si="0"/>
        <v>45.242138509683038</v>
      </c>
      <c r="G16" s="36">
        <f t="shared" si="0"/>
        <v>30.146746944099203</v>
      </c>
      <c r="H16" s="36">
        <f t="shared" si="0"/>
        <v>25.602991386762568</v>
      </c>
      <c r="I16" s="36">
        <f t="shared" si="0"/>
        <v>31.494527360331841</v>
      </c>
      <c r="J16" s="36">
        <f t="shared" si="0"/>
        <v>43.120392476105614</v>
      </c>
      <c r="K16" s="36">
        <f t="shared" si="0"/>
        <v>35.729549720172791</v>
      </c>
      <c r="L16" s="36">
        <f t="shared" si="0"/>
        <v>0</v>
      </c>
      <c r="M16" s="36">
        <f t="shared" si="0"/>
        <v>0</v>
      </c>
      <c r="N16" s="36">
        <f t="shared" si="0"/>
        <v>0</v>
      </c>
      <c r="O16" s="36">
        <f t="shared" si="0"/>
        <v>0</v>
      </c>
      <c r="P16" s="36">
        <f t="shared" si="0"/>
        <v>0</v>
      </c>
      <c r="Q16" s="36">
        <f t="shared" si="0"/>
        <v>0</v>
      </c>
      <c r="R16" s="36">
        <f t="shared" si="0"/>
        <v>0</v>
      </c>
      <c r="S16" s="36">
        <f t="shared" si="0"/>
        <v>0</v>
      </c>
      <c r="T16" s="36">
        <f t="shared" si="0"/>
        <v>0</v>
      </c>
      <c r="U16" s="36">
        <f t="shared" si="0"/>
        <v>0</v>
      </c>
      <c r="V16" s="36">
        <f t="shared" si="0"/>
        <v>0</v>
      </c>
      <c r="W16" s="36">
        <f t="shared" si="0"/>
        <v>0</v>
      </c>
      <c r="X16" s="36">
        <f t="shared" si="0"/>
        <v>0</v>
      </c>
    </row>
    <row r="17" spans="2:24" x14ac:dyDescent="0.25">
      <c r="B17" s="3" t="s">
        <v>21</v>
      </c>
      <c r="C17" s="37"/>
      <c r="D17" s="37"/>
      <c r="E17" s="37"/>
      <c r="F17" s="37">
        <v>50.58</v>
      </c>
      <c r="G17" s="37">
        <v>32.799999999999997</v>
      </c>
      <c r="H17" s="37">
        <v>28.8</v>
      </c>
      <c r="I17" s="37">
        <v>36.86</v>
      </c>
      <c r="J17" s="37">
        <v>49.95</v>
      </c>
      <c r="K17" s="37">
        <v>39.71</v>
      </c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21" spans="2:24" x14ac:dyDescent="0.25">
      <c r="B21" s="3" t="s">
        <v>22</v>
      </c>
      <c r="C21" s="3" t="s">
        <v>21</v>
      </c>
    </row>
    <row r="28" spans="2:24" x14ac:dyDescent="0.25">
      <c r="F28" t="s">
        <v>59</v>
      </c>
    </row>
  </sheetData>
  <pageMargins left="0.75" right="0.75" top="1" bottom="1" header="0.5" footer="0.5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1"/>
  <sheetViews>
    <sheetView workbookViewId="0">
      <selection activeCell="E3" sqref="E3"/>
    </sheetView>
  </sheetViews>
  <sheetFormatPr defaultRowHeight="15" x14ac:dyDescent="0.25"/>
  <cols>
    <col min="1" max="1" width="9.140625" style="3" customWidth="1"/>
    <col min="2" max="2" width="25.140625" style="3" customWidth="1"/>
    <col min="3" max="3" width="12.28515625" customWidth="1"/>
    <col min="5" max="5" width="8.7109375" customWidth="1"/>
    <col min="6" max="6" width="11.28515625" customWidth="1"/>
    <col min="7" max="7" width="13.28515625" customWidth="1"/>
    <col min="8" max="9" width="13.42578125" customWidth="1"/>
    <col min="10" max="10" width="14" customWidth="1"/>
  </cols>
  <sheetData>
    <row r="1" spans="1:21" x14ac:dyDescent="0.25">
      <c r="A1" s="3" t="s">
        <v>0</v>
      </c>
    </row>
    <row r="2" spans="1:21" x14ac:dyDescent="0.25">
      <c r="A2" s="3" t="s">
        <v>1</v>
      </c>
      <c r="C2">
        <v>423</v>
      </c>
    </row>
    <row r="3" spans="1:21" x14ac:dyDescent="0.25">
      <c r="B3" s="3" t="s">
        <v>4</v>
      </c>
      <c r="C3">
        <f>C2-C2*0.17</f>
        <v>351.09</v>
      </c>
      <c r="D3" s="14" t="s">
        <v>5</v>
      </c>
      <c r="E3">
        <v>322</v>
      </c>
      <c r="F3">
        <f>(C2-E3)/C2</f>
        <v>0.23877068557919623</v>
      </c>
      <c r="M3">
        <f>1-369.5/423</f>
        <v>0.12647754137115841</v>
      </c>
    </row>
    <row r="4" spans="1:21" x14ac:dyDescent="0.25">
      <c r="B4" s="3" t="s">
        <v>6</v>
      </c>
      <c r="C4">
        <v>17</v>
      </c>
      <c r="I4" t="s">
        <v>25</v>
      </c>
      <c r="M4" t="s">
        <v>26</v>
      </c>
      <c r="R4" t="s">
        <v>42</v>
      </c>
    </row>
    <row r="5" spans="1:21" s="10" customFormat="1" x14ac:dyDescent="0.25">
      <c r="B5" s="4" t="s">
        <v>7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  <c r="R5" s="10">
        <v>16</v>
      </c>
      <c r="S5" s="10">
        <v>17</v>
      </c>
    </row>
    <row r="6" spans="1:21" x14ac:dyDescent="0.25">
      <c r="B6" s="5" t="s">
        <v>8</v>
      </c>
      <c r="C6">
        <v>29.225000000000001</v>
      </c>
      <c r="D6">
        <v>24.009</v>
      </c>
      <c r="E6">
        <v>20.302</v>
      </c>
      <c r="F6">
        <v>17.245999999999999</v>
      </c>
      <c r="G6">
        <v>14.472</v>
      </c>
      <c r="H6">
        <v>11.127000000000001</v>
      </c>
      <c r="I6">
        <v>11.121</v>
      </c>
      <c r="J6">
        <v>9.2840000000000007</v>
      </c>
      <c r="K6">
        <v>6.8421000000000003</v>
      </c>
      <c r="L6">
        <v>2.9257</v>
      </c>
      <c r="M6">
        <v>19.082999999999998</v>
      </c>
      <c r="N6">
        <v>14.757</v>
      </c>
      <c r="O6">
        <v>11.612</v>
      </c>
      <c r="P6">
        <v>5.8364000000000003</v>
      </c>
      <c r="Q6">
        <v>3.1772</v>
      </c>
      <c r="R6">
        <v>7.6226000000000003</v>
      </c>
      <c r="S6">
        <v>4.8666</v>
      </c>
    </row>
    <row r="7" spans="1:21" x14ac:dyDescent="0.25">
      <c r="B7" s="6" t="s">
        <v>9</v>
      </c>
      <c r="C7">
        <v>-2</v>
      </c>
      <c r="D7">
        <v>-11.5</v>
      </c>
      <c r="E7">
        <v>-20</v>
      </c>
      <c r="F7">
        <v>-27</v>
      </c>
      <c r="G7">
        <v>-35</v>
      </c>
      <c r="H7">
        <v>-44</v>
      </c>
      <c r="I7">
        <v>-54.5</v>
      </c>
      <c r="J7">
        <v>-50</v>
      </c>
      <c r="K7">
        <v>-63</v>
      </c>
      <c r="L7">
        <v>-64</v>
      </c>
      <c r="M7">
        <v>-73.5</v>
      </c>
      <c r="N7">
        <v>-82</v>
      </c>
      <c r="O7">
        <v>-88</v>
      </c>
      <c r="P7">
        <v>-103.5</v>
      </c>
      <c r="Q7">
        <v>-114</v>
      </c>
      <c r="R7">
        <v>-115</v>
      </c>
      <c r="S7">
        <v>-120</v>
      </c>
    </row>
    <row r="8" spans="1:21" x14ac:dyDescent="0.25">
      <c r="B8" s="7" t="s">
        <v>10</v>
      </c>
      <c r="C8">
        <v>300</v>
      </c>
      <c r="D8">
        <v>300</v>
      </c>
      <c r="E8">
        <v>300</v>
      </c>
      <c r="F8">
        <v>300</v>
      </c>
      <c r="G8">
        <v>300</v>
      </c>
      <c r="H8">
        <v>300</v>
      </c>
      <c r="I8">
        <v>300</v>
      </c>
      <c r="J8">
        <v>300</v>
      </c>
      <c r="K8">
        <v>300</v>
      </c>
      <c r="L8">
        <v>300</v>
      </c>
      <c r="M8">
        <v>500</v>
      </c>
      <c r="N8">
        <v>500</v>
      </c>
      <c r="O8">
        <v>500</v>
      </c>
      <c r="P8">
        <v>500</v>
      </c>
      <c r="Q8">
        <v>500</v>
      </c>
      <c r="R8">
        <v>620</v>
      </c>
      <c r="S8">
        <v>620</v>
      </c>
    </row>
    <row r="9" spans="1:21" s="1" customFormat="1" x14ac:dyDescent="0.25">
      <c r="A9" s="11" t="s">
        <v>11</v>
      </c>
      <c r="B9" s="7" t="s">
        <v>12</v>
      </c>
      <c r="C9" s="1">
        <v>17.399999999999999</v>
      </c>
      <c r="D9" s="1">
        <v>21.4</v>
      </c>
      <c r="E9" s="1">
        <v>22.3</v>
      </c>
      <c r="F9" s="1">
        <v>23.1</v>
      </c>
      <c r="G9" s="1">
        <v>24.9</v>
      </c>
      <c r="H9" s="1">
        <v>28.4</v>
      </c>
      <c r="I9" s="1">
        <v>29.3</v>
      </c>
      <c r="J9" s="1">
        <v>29.4</v>
      </c>
      <c r="K9" s="1">
        <v>35.1</v>
      </c>
      <c r="L9" s="1">
        <v>35.700000000000003</v>
      </c>
      <c r="M9" s="1">
        <v>34.700000000000003</v>
      </c>
      <c r="N9" s="1">
        <v>38.299999999999997</v>
      </c>
      <c r="O9" s="1">
        <v>34.9</v>
      </c>
      <c r="P9" s="1">
        <v>35.299999999999997</v>
      </c>
      <c r="Q9" s="1">
        <v>42.7</v>
      </c>
      <c r="R9" s="1">
        <v>46.4</v>
      </c>
      <c r="S9" s="1">
        <v>48.1</v>
      </c>
    </row>
    <row r="10" spans="1:21" x14ac:dyDescent="0.25">
      <c r="A10" s="12"/>
      <c r="B10" s="8" t="s">
        <v>13</v>
      </c>
      <c r="C10">
        <v>24.5</v>
      </c>
      <c r="D10">
        <v>22</v>
      </c>
      <c r="E10">
        <v>24</v>
      </c>
      <c r="F10">
        <v>25.5</v>
      </c>
      <c r="G10">
        <v>31.5</v>
      </c>
      <c r="H10">
        <v>31</v>
      </c>
      <c r="I10">
        <v>31.5</v>
      </c>
      <c r="J10">
        <v>30</v>
      </c>
      <c r="K10">
        <v>31.5</v>
      </c>
      <c r="L10">
        <v>33.5</v>
      </c>
      <c r="M10">
        <v>38.5</v>
      </c>
      <c r="N10">
        <v>44.5</v>
      </c>
      <c r="O10">
        <v>43</v>
      </c>
      <c r="P10">
        <v>54.5</v>
      </c>
      <c r="Q10">
        <v>55.5</v>
      </c>
      <c r="R10">
        <v>52</v>
      </c>
      <c r="S10">
        <v>55</v>
      </c>
    </row>
    <row r="11" spans="1:21" s="1" customFormat="1" x14ac:dyDescent="0.25">
      <c r="A11" s="12"/>
      <c r="B11" s="8" t="s">
        <v>14</v>
      </c>
      <c r="C11">
        <v>401</v>
      </c>
      <c r="D11">
        <v>395</v>
      </c>
      <c r="E11">
        <v>389</v>
      </c>
      <c r="F11">
        <v>387</v>
      </c>
      <c r="G11">
        <v>382</v>
      </c>
      <c r="H11">
        <v>380</v>
      </c>
      <c r="I11">
        <v>378</v>
      </c>
      <c r="J11">
        <v>374.5</v>
      </c>
      <c r="K11">
        <v>371.5</v>
      </c>
      <c r="L11">
        <v>369.5</v>
      </c>
      <c r="M11">
        <v>354</v>
      </c>
      <c r="N11">
        <v>352.5</v>
      </c>
      <c r="O11">
        <v>350.5</v>
      </c>
      <c r="P11">
        <v>345</v>
      </c>
      <c r="Q11">
        <v>343.5</v>
      </c>
      <c r="R11" s="2">
        <v>338.5</v>
      </c>
      <c r="S11" s="2">
        <v>339</v>
      </c>
      <c r="T11" s="2"/>
      <c r="U11" s="2"/>
    </row>
    <row r="12" spans="1:21" x14ac:dyDescent="0.25">
      <c r="A12" s="11" t="s">
        <v>15</v>
      </c>
      <c r="B12" s="7" t="s">
        <v>16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21" x14ac:dyDescent="0.25">
      <c r="A13" s="12"/>
      <c r="B13" s="8" t="s">
        <v>17</v>
      </c>
      <c r="C13">
        <v>366.43</v>
      </c>
      <c r="D13">
        <v>366.43</v>
      </c>
      <c r="E13">
        <v>366.43</v>
      </c>
      <c r="F13">
        <v>366.43</v>
      </c>
      <c r="G13">
        <v>366.43</v>
      </c>
      <c r="H13">
        <v>366.43</v>
      </c>
      <c r="I13">
        <v>366.43</v>
      </c>
      <c r="J13">
        <v>366.43</v>
      </c>
      <c r="K13">
        <v>366.43</v>
      </c>
      <c r="L13">
        <v>366.43</v>
      </c>
      <c r="M13">
        <v>366.43</v>
      </c>
      <c r="N13">
        <v>366.43</v>
      </c>
      <c r="O13">
        <v>366.43</v>
      </c>
      <c r="P13">
        <v>366.43</v>
      </c>
      <c r="Q13">
        <v>366.43</v>
      </c>
      <c r="R13">
        <v>366.43</v>
      </c>
      <c r="S13">
        <v>366.43</v>
      </c>
    </row>
    <row r="14" spans="1:21" x14ac:dyDescent="0.25">
      <c r="A14" s="12"/>
      <c r="B14" s="8" t="s">
        <v>18</v>
      </c>
      <c r="C14">
        <v>45</v>
      </c>
      <c r="D14">
        <v>47</v>
      </c>
      <c r="E14">
        <v>51</v>
      </c>
      <c r="F14">
        <v>45</v>
      </c>
      <c r="G14">
        <v>40</v>
      </c>
      <c r="H14">
        <v>37</v>
      </c>
      <c r="I14">
        <v>38</v>
      </c>
      <c r="J14">
        <v>39</v>
      </c>
      <c r="K14">
        <v>36.5</v>
      </c>
      <c r="L14">
        <v>35.5</v>
      </c>
      <c r="M14">
        <v>30.5</v>
      </c>
      <c r="N14">
        <v>20</v>
      </c>
      <c r="O14">
        <v>22</v>
      </c>
      <c r="P14">
        <v>16</v>
      </c>
      <c r="Q14">
        <v>4.5</v>
      </c>
      <c r="R14">
        <v>3</v>
      </c>
      <c r="S14">
        <v>10</v>
      </c>
    </row>
    <row r="15" spans="1:21" s="2" customFormat="1" x14ac:dyDescent="0.25">
      <c r="A15" s="13"/>
      <c r="B15" s="9" t="s">
        <v>19</v>
      </c>
    </row>
    <row r="16" spans="1:21" x14ac:dyDescent="0.25">
      <c r="B16" s="5" t="s">
        <v>20</v>
      </c>
      <c r="C16">
        <f t="shared" ref="C16:S16" si="0">-C6*COS(RADIANS(C10-2.83))*C13/1000</f>
        <v>-9.9520752292838743</v>
      </c>
      <c r="D16">
        <f t="shared" si="0"/>
        <v>-8.309776190397633</v>
      </c>
      <c r="E16">
        <f t="shared" si="0"/>
        <v>-6.9372085405748338</v>
      </c>
      <c r="F16">
        <f t="shared" si="0"/>
        <v>-5.8312110803111104</v>
      </c>
      <c r="G16">
        <f t="shared" si="0"/>
        <v>-4.6528169082585853</v>
      </c>
      <c r="H16">
        <f t="shared" si="0"/>
        <v>-3.5943174716264252</v>
      </c>
      <c r="I16">
        <f t="shared" si="0"/>
        <v>-3.5754544525113139</v>
      </c>
      <c r="J16">
        <f t="shared" si="0"/>
        <v>-3.0265514767141273</v>
      </c>
      <c r="K16">
        <f t="shared" si="0"/>
        <v>-2.199767728579054</v>
      </c>
      <c r="L16">
        <f t="shared" si="0"/>
        <v>-0.92210333898321939</v>
      </c>
      <c r="M16">
        <f t="shared" si="0"/>
        <v>-5.6806977708149313</v>
      </c>
      <c r="N16">
        <f t="shared" si="0"/>
        <v>-4.0392598352753879</v>
      </c>
      <c r="O16">
        <f t="shared" si="0"/>
        <v>-3.2513783399694391</v>
      </c>
      <c r="P16">
        <f t="shared" si="0"/>
        <v>-1.3263579017259233</v>
      </c>
      <c r="Q16">
        <f t="shared" si="0"/>
        <v>-0.70598947320621186</v>
      </c>
      <c r="R16">
        <f t="shared" si="0"/>
        <v>-1.826208161538696</v>
      </c>
      <c r="S16">
        <f t="shared" si="0"/>
        <v>-1.0937153129886135</v>
      </c>
    </row>
    <row r="17" spans="2:19" x14ac:dyDescent="0.25">
      <c r="B17" s="3" t="s">
        <v>21</v>
      </c>
      <c r="C17">
        <v>-8.8432229117959409</v>
      </c>
      <c r="D17">
        <v>-7.3877101457331502</v>
      </c>
      <c r="E17">
        <v>-6.1229590706185704</v>
      </c>
      <c r="F17">
        <v>-5.1141685562792896</v>
      </c>
      <c r="G17">
        <v>-4.0057750611846901</v>
      </c>
      <c r="H17">
        <v>-3.08271954812317</v>
      </c>
      <c r="I17">
        <v>-3.0425145122501802</v>
      </c>
      <c r="J17">
        <v>-2.5938436656752</v>
      </c>
      <c r="K17">
        <v>-1.8617853154184101</v>
      </c>
      <c r="L17">
        <v>-0.77484936807902705</v>
      </c>
      <c r="M17">
        <v>-4.6544090914984197</v>
      </c>
      <c r="N17">
        <v>-3.1970354025926402</v>
      </c>
      <c r="O17">
        <v>-2.5796638217396901</v>
      </c>
      <c r="P17">
        <v>-0.95909890934415098</v>
      </c>
      <c r="Q17">
        <v>-0.49957241733930002</v>
      </c>
      <c r="R17">
        <v>-1.3329952543772701</v>
      </c>
      <c r="S17">
        <v>-0.77272430551831095</v>
      </c>
    </row>
    <row r="18" spans="2:19" x14ac:dyDescent="0.25">
      <c r="J18" t="s">
        <v>43</v>
      </c>
    </row>
    <row r="19" spans="2:19" x14ac:dyDescent="0.25">
      <c r="M19" t="s">
        <v>44</v>
      </c>
    </row>
    <row r="20" spans="2:19" x14ac:dyDescent="0.25">
      <c r="R20" t="s">
        <v>45</v>
      </c>
    </row>
    <row r="21" spans="2:19" x14ac:dyDescent="0.25">
      <c r="B21" s="3" t="s">
        <v>22</v>
      </c>
      <c r="C21" s="3" t="s">
        <v>21</v>
      </c>
    </row>
  </sheetData>
  <pageMargins left="0.7" right="0.7" top="0.75" bottom="0.75" header="0.3" footer="0.3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1"/>
  <sheetViews>
    <sheetView workbookViewId="0">
      <selection activeCell="I11" sqref="I11"/>
    </sheetView>
  </sheetViews>
  <sheetFormatPr defaultRowHeight="15" x14ac:dyDescent="0.25"/>
  <cols>
    <col min="1" max="1" width="9.140625" style="3" customWidth="1"/>
    <col min="2" max="2" width="25.140625" style="3" customWidth="1"/>
    <col min="3" max="3" width="12.28515625" customWidth="1"/>
    <col min="5" max="5" width="8.7109375" customWidth="1"/>
    <col min="6" max="6" width="11.28515625" customWidth="1"/>
    <col min="7" max="7" width="13.28515625" customWidth="1"/>
    <col min="8" max="9" width="13.42578125" customWidth="1"/>
    <col min="10" max="10" width="14" customWidth="1"/>
  </cols>
  <sheetData>
    <row r="1" spans="1:21" x14ac:dyDescent="0.25">
      <c r="A1" s="3" t="s">
        <v>0</v>
      </c>
    </row>
    <row r="2" spans="1:21" x14ac:dyDescent="0.25">
      <c r="A2" s="3" t="s">
        <v>1</v>
      </c>
      <c r="C2">
        <v>390</v>
      </c>
      <c r="E2" s="15" t="s">
        <v>2</v>
      </c>
      <c r="F2" s="16"/>
      <c r="G2" t="s">
        <v>3</v>
      </c>
    </row>
    <row r="3" spans="1:21" x14ac:dyDescent="0.25">
      <c r="B3" s="3" t="s">
        <v>4</v>
      </c>
      <c r="C3">
        <f>C2*(1-0.25)</f>
        <v>292.5</v>
      </c>
      <c r="D3" s="14" t="s">
        <v>5</v>
      </c>
      <c r="E3" s="17">
        <v>289</v>
      </c>
      <c r="F3" s="18">
        <f>(C2-E3)/C2</f>
        <v>0.258974358974359</v>
      </c>
      <c r="G3">
        <v>290</v>
      </c>
      <c r="H3">
        <f>(C2-G3)/C2</f>
        <v>0.25641025641025639</v>
      </c>
      <c r="M3">
        <f>1-369.5/423</f>
        <v>0.12647754137115841</v>
      </c>
    </row>
    <row r="4" spans="1:21" x14ac:dyDescent="0.25">
      <c r="B4" s="3" t="s">
        <v>6</v>
      </c>
      <c r="C4">
        <v>17</v>
      </c>
      <c r="D4" t="s">
        <v>5</v>
      </c>
      <c r="I4" t="s">
        <v>25</v>
      </c>
      <c r="M4" t="s">
        <v>26</v>
      </c>
      <c r="R4" t="s">
        <v>42</v>
      </c>
    </row>
    <row r="5" spans="1:21" s="10" customFormat="1" x14ac:dyDescent="0.25">
      <c r="B5" s="4" t="s">
        <v>7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  <c r="R5" s="10">
        <v>16</v>
      </c>
      <c r="S5" s="10">
        <v>17</v>
      </c>
    </row>
    <row r="6" spans="1:21" x14ac:dyDescent="0.25">
      <c r="B6" s="5" t="s">
        <v>8</v>
      </c>
      <c r="C6">
        <v>18</v>
      </c>
      <c r="D6">
        <v>37</v>
      </c>
      <c r="E6">
        <v>18.5</v>
      </c>
      <c r="F6">
        <v>32</v>
      </c>
      <c r="G6">
        <v>44</v>
      </c>
      <c r="H6">
        <v>53</v>
      </c>
      <c r="I6">
        <v>61</v>
      </c>
    </row>
    <row r="7" spans="1:21" x14ac:dyDescent="0.25">
      <c r="B7" s="6" t="s">
        <v>9</v>
      </c>
      <c r="C7">
        <v>-124</v>
      </c>
      <c r="D7">
        <v>-98.5</v>
      </c>
      <c r="E7">
        <v>-118.5</v>
      </c>
      <c r="F7">
        <v>-111</v>
      </c>
      <c r="G7">
        <v>-90</v>
      </c>
      <c r="H7">
        <v>-75</v>
      </c>
      <c r="I7">
        <v>-64</v>
      </c>
    </row>
    <row r="8" spans="1:21" x14ac:dyDescent="0.25">
      <c r="B8" s="7" t="s">
        <v>10</v>
      </c>
      <c r="C8">
        <v>610</v>
      </c>
      <c r="D8">
        <v>609</v>
      </c>
      <c r="E8">
        <v>608.75</v>
      </c>
      <c r="F8">
        <v>608</v>
      </c>
      <c r="G8">
        <v>608</v>
      </c>
      <c r="H8">
        <v>608</v>
      </c>
      <c r="I8">
        <v>606.5</v>
      </c>
    </row>
    <row r="9" spans="1:21" s="1" customFormat="1" x14ac:dyDescent="0.25">
      <c r="A9" s="11" t="s">
        <v>11</v>
      </c>
      <c r="B9" s="7" t="s">
        <v>12</v>
      </c>
    </row>
    <row r="10" spans="1:21" x14ac:dyDescent="0.25">
      <c r="A10" s="12"/>
      <c r="B10" s="8" t="s">
        <v>13</v>
      </c>
      <c r="C10">
        <v>29</v>
      </c>
      <c r="D10">
        <v>31</v>
      </c>
      <c r="E10">
        <v>31</v>
      </c>
      <c r="F10">
        <v>27</v>
      </c>
      <c r="G10">
        <v>28</v>
      </c>
      <c r="H10">
        <v>24</v>
      </c>
      <c r="I10">
        <v>20</v>
      </c>
    </row>
    <row r="11" spans="1:21" s="1" customFormat="1" x14ac:dyDescent="0.25">
      <c r="A11" s="12"/>
      <c r="B11" s="8" t="s">
        <v>14</v>
      </c>
      <c r="C11">
        <v>330</v>
      </c>
      <c r="D11">
        <v>331</v>
      </c>
      <c r="E11">
        <v>328</v>
      </c>
      <c r="F11">
        <v>330</v>
      </c>
      <c r="G11">
        <v>333</v>
      </c>
      <c r="H11">
        <v>337</v>
      </c>
      <c r="R11" s="2"/>
      <c r="S11" s="2"/>
      <c r="T11" s="2"/>
      <c r="U11" s="2"/>
    </row>
    <row r="12" spans="1:21" x14ac:dyDescent="0.25">
      <c r="A12" s="11" t="s">
        <v>15</v>
      </c>
      <c r="B12" s="7" t="s">
        <v>16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21" x14ac:dyDescent="0.25">
      <c r="A13" s="12"/>
      <c r="B13" s="8" t="s">
        <v>17</v>
      </c>
      <c r="C13">
        <v>350</v>
      </c>
      <c r="D13">
        <v>350</v>
      </c>
      <c r="E13">
        <v>350</v>
      </c>
      <c r="F13">
        <v>350</v>
      </c>
      <c r="G13">
        <v>350</v>
      </c>
      <c r="H13">
        <v>350</v>
      </c>
      <c r="I13">
        <v>350</v>
      </c>
      <c r="J13">
        <v>350</v>
      </c>
      <c r="K13">
        <v>350</v>
      </c>
      <c r="L13">
        <v>350</v>
      </c>
      <c r="M13">
        <v>350</v>
      </c>
      <c r="N13">
        <v>350</v>
      </c>
      <c r="O13">
        <v>350</v>
      </c>
      <c r="P13">
        <v>350</v>
      </c>
      <c r="Q13">
        <v>350</v>
      </c>
      <c r="R13">
        <v>350</v>
      </c>
    </row>
    <row r="14" spans="1:21" x14ac:dyDescent="0.25">
      <c r="A14" s="12"/>
      <c r="B14" s="8" t="s">
        <v>18</v>
      </c>
      <c r="C14">
        <v>10</v>
      </c>
      <c r="D14">
        <v>25</v>
      </c>
      <c r="E14">
        <v>15</v>
      </c>
      <c r="F14">
        <v>20</v>
      </c>
      <c r="G14">
        <v>25</v>
      </c>
      <c r="H14">
        <v>25</v>
      </c>
    </row>
    <row r="15" spans="1:21" s="2" customFormat="1" x14ac:dyDescent="0.25">
      <c r="A15" s="13"/>
      <c r="B15" s="9" t="s">
        <v>19</v>
      </c>
    </row>
    <row r="16" spans="1:21" x14ac:dyDescent="0.25">
      <c r="B16" s="5" t="s">
        <v>20</v>
      </c>
      <c r="C16">
        <f t="shared" ref="C16:S16" si="0">-C6*COS(RADIANS(C10-2.83))*C13/1000</f>
        <v>-5.6541833371388703</v>
      </c>
      <c r="D16">
        <f t="shared" si="0"/>
        <v>-11.416082319316914</v>
      </c>
      <c r="E16">
        <f t="shared" si="0"/>
        <v>-5.7080411596584568</v>
      </c>
      <c r="F16">
        <f t="shared" si="0"/>
        <v>-10.218147814891781</v>
      </c>
      <c r="G16">
        <f t="shared" si="0"/>
        <v>-13.937767935473495</v>
      </c>
      <c r="H16">
        <f t="shared" si="0"/>
        <v>-17.298116513358377</v>
      </c>
      <c r="I16">
        <f t="shared" si="0"/>
        <v>-20.398495906594288</v>
      </c>
      <c r="J16">
        <f t="shared" si="0"/>
        <v>0</v>
      </c>
      <c r="K16">
        <f t="shared" si="0"/>
        <v>0</v>
      </c>
      <c r="L16">
        <f t="shared" si="0"/>
        <v>0</v>
      </c>
      <c r="M16">
        <f t="shared" si="0"/>
        <v>0</v>
      </c>
      <c r="N16">
        <f t="shared" si="0"/>
        <v>0</v>
      </c>
      <c r="O16">
        <f t="shared" si="0"/>
        <v>0</v>
      </c>
      <c r="P16">
        <f t="shared" si="0"/>
        <v>0</v>
      </c>
      <c r="Q16">
        <f t="shared" si="0"/>
        <v>0</v>
      </c>
      <c r="R16">
        <f t="shared" si="0"/>
        <v>0</v>
      </c>
      <c r="S16">
        <f t="shared" si="0"/>
        <v>0</v>
      </c>
    </row>
    <row r="17" spans="2:3" x14ac:dyDescent="0.25">
      <c r="B17" s="3" t="s">
        <v>21</v>
      </c>
    </row>
    <row r="21" spans="2:3" x14ac:dyDescent="0.25">
      <c r="B21" s="3" t="s">
        <v>22</v>
      </c>
      <c r="C21" s="3" t="s">
        <v>21</v>
      </c>
    </row>
  </sheetData>
  <pageMargins left="0.7" right="0.7" top="0.75" bottom="0.75" header="0.3" footer="0.3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1"/>
  <sheetViews>
    <sheetView workbookViewId="0">
      <selection activeCell="G36" sqref="G36"/>
    </sheetView>
  </sheetViews>
  <sheetFormatPr defaultRowHeight="15" x14ac:dyDescent="0.25"/>
  <cols>
    <col min="1" max="1" width="9.140625" style="3" customWidth="1"/>
    <col min="2" max="2" width="25.140625" style="3" customWidth="1"/>
    <col min="3" max="3" width="12.28515625" customWidth="1"/>
    <col min="5" max="5" width="8.7109375" customWidth="1"/>
    <col min="6" max="6" width="11.28515625" customWidth="1"/>
    <col min="7" max="7" width="13.28515625" customWidth="1"/>
    <col min="8" max="9" width="13.42578125" customWidth="1"/>
    <col min="10" max="10" width="14" customWidth="1"/>
  </cols>
  <sheetData>
    <row r="1" spans="1:21" x14ac:dyDescent="0.25">
      <c r="A1" s="3" t="s">
        <v>0</v>
      </c>
    </row>
    <row r="2" spans="1:21" x14ac:dyDescent="0.25">
      <c r="A2" s="3" t="s">
        <v>1</v>
      </c>
      <c r="C2">
        <v>390</v>
      </c>
      <c r="E2" s="15" t="s">
        <v>2</v>
      </c>
      <c r="F2" s="16"/>
      <c r="G2" t="s">
        <v>3</v>
      </c>
    </row>
    <row r="3" spans="1:21" x14ac:dyDescent="0.25">
      <c r="B3" s="3" t="s">
        <v>4</v>
      </c>
      <c r="C3">
        <f>C2*(1-0.25)</f>
        <v>292.5</v>
      </c>
      <c r="D3" s="14" t="s">
        <v>5</v>
      </c>
      <c r="E3" s="17">
        <v>289</v>
      </c>
      <c r="F3" s="18">
        <f>(C2-E3)/C2</f>
        <v>0.258974358974359</v>
      </c>
      <c r="G3">
        <v>290</v>
      </c>
      <c r="H3">
        <f>(C2-G3)/C2</f>
        <v>0.25641025641025639</v>
      </c>
      <c r="M3">
        <f>1-369.5/423</f>
        <v>0.12647754137115841</v>
      </c>
    </row>
    <row r="4" spans="1:21" x14ac:dyDescent="0.25">
      <c r="B4" s="3" t="s">
        <v>6</v>
      </c>
      <c r="C4">
        <v>25</v>
      </c>
      <c r="D4" t="s">
        <v>5</v>
      </c>
      <c r="G4" t="s">
        <v>25</v>
      </c>
    </row>
    <row r="5" spans="1:21" s="10" customFormat="1" x14ac:dyDescent="0.25">
      <c r="B5" s="4" t="s">
        <v>7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  <c r="R5" s="10">
        <v>16</v>
      </c>
      <c r="S5" s="10">
        <v>17</v>
      </c>
    </row>
    <row r="6" spans="1:21" x14ac:dyDescent="0.25">
      <c r="B6" s="5" t="s">
        <v>8</v>
      </c>
      <c r="C6">
        <v>10.6</v>
      </c>
      <c r="D6">
        <v>28.6</v>
      </c>
      <c r="E6">
        <v>36.9</v>
      </c>
      <c r="F6">
        <v>50.45</v>
      </c>
    </row>
    <row r="7" spans="1:21" x14ac:dyDescent="0.25">
      <c r="B7" s="6" t="s">
        <v>9</v>
      </c>
      <c r="C7">
        <v>-125</v>
      </c>
      <c r="D7">
        <v>-112</v>
      </c>
      <c r="E7">
        <v>-91.5</v>
      </c>
      <c r="F7">
        <v>-75</v>
      </c>
    </row>
    <row r="8" spans="1:21" x14ac:dyDescent="0.25">
      <c r="B8" s="7" t="s">
        <v>10</v>
      </c>
      <c r="C8">
        <v>608</v>
      </c>
      <c r="D8">
        <v>610</v>
      </c>
      <c r="E8">
        <v>610</v>
      </c>
      <c r="F8">
        <v>608</v>
      </c>
    </row>
    <row r="9" spans="1:21" s="1" customFormat="1" x14ac:dyDescent="0.25">
      <c r="A9" s="11" t="s">
        <v>11</v>
      </c>
      <c r="B9" s="7" t="s">
        <v>12</v>
      </c>
    </row>
    <row r="10" spans="1:21" x14ac:dyDescent="0.25">
      <c r="A10" s="12"/>
      <c r="B10" s="8" t="s">
        <v>13</v>
      </c>
      <c r="C10">
        <v>33</v>
      </c>
      <c r="D10">
        <v>31.5</v>
      </c>
      <c r="E10">
        <v>30</v>
      </c>
      <c r="F10">
        <v>26.5</v>
      </c>
    </row>
    <row r="11" spans="1:21" s="1" customFormat="1" x14ac:dyDescent="0.25">
      <c r="A11" s="12"/>
      <c r="B11" s="8" t="s">
        <v>14</v>
      </c>
      <c r="C11">
        <v>325</v>
      </c>
      <c r="D11">
        <v>327</v>
      </c>
      <c r="E11">
        <v>332</v>
      </c>
      <c r="F11">
        <v>335</v>
      </c>
      <c r="R11" s="2"/>
      <c r="S11" s="2"/>
      <c r="T11" s="2"/>
      <c r="U11" s="2"/>
    </row>
    <row r="12" spans="1:21" x14ac:dyDescent="0.25">
      <c r="A12" s="11" t="s">
        <v>15</v>
      </c>
      <c r="B12" s="7" t="s">
        <v>16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21" x14ac:dyDescent="0.25">
      <c r="A13" s="12"/>
      <c r="B13" s="8" t="s">
        <v>17</v>
      </c>
      <c r="C13">
        <v>350</v>
      </c>
      <c r="D13">
        <v>350</v>
      </c>
      <c r="E13">
        <v>350</v>
      </c>
      <c r="F13">
        <v>350</v>
      </c>
      <c r="G13">
        <v>350</v>
      </c>
      <c r="H13">
        <v>350</v>
      </c>
      <c r="I13">
        <v>350</v>
      </c>
      <c r="J13">
        <v>350</v>
      </c>
      <c r="K13">
        <v>350</v>
      </c>
      <c r="L13">
        <v>350</v>
      </c>
      <c r="M13">
        <v>350</v>
      </c>
      <c r="N13">
        <v>350</v>
      </c>
      <c r="O13">
        <v>350</v>
      </c>
      <c r="P13">
        <v>350</v>
      </c>
      <c r="Q13">
        <v>350</v>
      </c>
      <c r="R13">
        <v>350</v>
      </c>
    </row>
    <row r="14" spans="1:21" x14ac:dyDescent="0.25">
      <c r="A14" s="12"/>
      <c r="B14" s="8" t="s">
        <v>18</v>
      </c>
      <c r="C14">
        <v>10</v>
      </c>
      <c r="D14">
        <v>15</v>
      </c>
      <c r="E14">
        <v>25</v>
      </c>
      <c r="F14">
        <v>25</v>
      </c>
    </row>
    <row r="15" spans="1:21" s="2" customFormat="1" x14ac:dyDescent="0.25">
      <c r="A15" s="13"/>
      <c r="B15" s="9" t="s">
        <v>19</v>
      </c>
    </row>
    <row r="16" spans="1:21" x14ac:dyDescent="0.25">
      <c r="B16" s="5" t="s">
        <v>20</v>
      </c>
      <c r="C16">
        <f t="shared" ref="C16:S16" si="0">-C6*COS(RADIANS(C10-2.83))*C13/1000</f>
        <v>-3.2074362177995286</v>
      </c>
      <c r="D16">
        <f t="shared" si="0"/>
        <v>-8.7827488537996867</v>
      </c>
      <c r="E16">
        <f t="shared" si="0"/>
        <v>-11.489901909669882</v>
      </c>
      <c r="F16">
        <f t="shared" si="0"/>
        <v>-16.172026211620985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  <c r="K16">
        <f t="shared" si="0"/>
        <v>0</v>
      </c>
      <c r="L16">
        <f t="shared" si="0"/>
        <v>0</v>
      </c>
      <c r="M16">
        <f t="shared" si="0"/>
        <v>0</v>
      </c>
      <c r="N16">
        <f t="shared" si="0"/>
        <v>0</v>
      </c>
      <c r="O16">
        <f t="shared" si="0"/>
        <v>0</v>
      </c>
      <c r="P16">
        <f t="shared" si="0"/>
        <v>0</v>
      </c>
      <c r="Q16">
        <f t="shared" si="0"/>
        <v>0</v>
      </c>
      <c r="R16">
        <f t="shared" si="0"/>
        <v>0</v>
      </c>
      <c r="S16">
        <f t="shared" si="0"/>
        <v>0</v>
      </c>
    </row>
    <row r="17" spans="2:7" x14ac:dyDescent="0.25">
      <c r="B17" s="3" t="s">
        <v>21</v>
      </c>
      <c r="G17" t="s">
        <v>46</v>
      </c>
    </row>
    <row r="21" spans="2:7" x14ac:dyDescent="0.25">
      <c r="B21" s="3" t="s">
        <v>22</v>
      </c>
      <c r="C21" s="3" t="s">
        <v>21</v>
      </c>
    </row>
  </sheetData>
  <pageMargins left="0.7" right="0.7" top="0.75" bottom="0.75" header="0.3" footer="0.3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21"/>
  <sheetViews>
    <sheetView workbookViewId="0">
      <selection activeCell="N35" sqref="N35"/>
    </sheetView>
  </sheetViews>
  <sheetFormatPr defaultRowHeight="15" x14ac:dyDescent="0.25"/>
  <cols>
    <col min="1" max="1" width="9.140625" style="3" customWidth="1"/>
    <col min="2" max="2" width="25.140625" style="3" customWidth="1"/>
    <col min="3" max="3" width="12.28515625" customWidth="1"/>
    <col min="5" max="5" width="8.7109375" customWidth="1"/>
    <col min="6" max="6" width="11.28515625" customWidth="1"/>
    <col min="7" max="7" width="13.28515625" customWidth="1"/>
    <col min="8" max="9" width="13.42578125" customWidth="1"/>
    <col min="10" max="10" width="14" customWidth="1"/>
  </cols>
  <sheetData>
    <row r="1" spans="1:21" x14ac:dyDescent="0.25">
      <c r="A1" s="3" t="s">
        <v>0</v>
      </c>
    </row>
    <row r="2" spans="1:21" x14ac:dyDescent="0.25">
      <c r="A2" s="3" t="s">
        <v>1</v>
      </c>
      <c r="C2">
        <v>420</v>
      </c>
      <c r="E2" s="15" t="s">
        <v>2</v>
      </c>
      <c r="F2" s="16"/>
      <c r="G2" t="s">
        <v>3</v>
      </c>
    </row>
    <row r="3" spans="1:21" x14ac:dyDescent="0.25">
      <c r="B3" s="3" t="s">
        <v>4</v>
      </c>
      <c r="C3">
        <f>C2*(1-0.25)</f>
        <v>315</v>
      </c>
      <c r="D3" s="14" t="s">
        <v>5</v>
      </c>
      <c r="E3" s="17"/>
      <c r="F3" s="18">
        <f>(C2-E3)/C2</f>
        <v>1</v>
      </c>
      <c r="H3">
        <f>(C2-G3)/C2</f>
        <v>1</v>
      </c>
    </row>
    <row r="4" spans="1:21" x14ac:dyDescent="0.25">
      <c r="B4" s="3" t="s">
        <v>6</v>
      </c>
      <c r="C4">
        <v>15</v>
      </c>
      <c r="D4" t="s">
        <v>5</v>
      </c>
    </row>
    <row r="5" spans="1:21" s="10" customFormat="1" x14ac:dyDescent="0.25">
      <c r="B5" s="4" t="s">
        <v>7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  <c r="R5" s="10">
        <v>16</v>
      </c>
      <c r="S5" s="10">
        <v>17</v>
      </c>
    </row>
    <row r="6" spans="1:21" x14ac:dyDescent="0.25">
      <c r="B6" s="5" t="s">
        <v>8</v>
      </c>
      <c r="C6">
        <v>5.3</v>
      </c>
      <c r="D6">
        <v>19.829999999999998</v>
      </c>
      <c r="E6">
        <v>31.35</v>
      </c>
      <c r="F6">
        <v>44.78</v>
      </c>
      <c r="G6">
        <v>56.1</v>
      </c>
      <c r="H6">
        <v>68.12</v>
      </c>
      <c r="I6">
        <v>74.900000000000006</v>
      </c>
      <c r="J6">
        <v>78.14</v>
      </c>
    </row>
    <row r="7" spans="1:21" x14ac:dyDescent="0.25">
      <c r="B7" s="6" t="s">
        <v>9</v>
      </c>
      <c r="C7">
        <v>-125</v>
      </c>
      <c r="D7">
        <v>-112</v>
      </c>
      <c r="E7">
        <v>-93</v>
      </c>
      <c r="F7">
        <v>-80</v>
      </c>
      <c r="G7">
        <v>-75</v>
      </c>
      <c r="H7">
        <v>-52</v>
      </c>
      <c r="I7">
        <v>-42</v>
      </c>
      <c r="J7">
        <v>-32</v>
      </c>
    </row>
    <row r="8" spans="1:21" x14ac:dyDescent="0.25">
      <c r="B8" s="7" t="s">
        <v>10</v>
      </c>
      <c r="C8">
        <v>614</v>
      </c>
      <c r="D8">
        <v>613.57000000000005</v>
      </c>
      <c r="E8">
        <v>613.57000000000005</v>
      </c>
      <c r="F8">
        <v>618</v>
      </c>
      <c r="G8">
        <v>617</v>
      </c>
      <c r="H8">
        <v>615</v>
      </c>
      <c r="I8">
        <v>618</v>
      </c>
      <c r="J8">
        <v>620</v>
      </c>
    </row>
    <row r="9" spans="1:21" s="1" customFormat="1" x14ac:dyDescent="0.25">
      <c r="A9" s="11" t="s">
        <v>11</v>
      </c>
      <c r="B9" s="7" t="s">
        <v>12</v>
      </c>
    </row>
    <row r="10" spans="1:21" x14ac:dyDescent="0.25">
      <c r="A10" s="12"/>
      <c r="B10" s="8" t="s">
        <v>13</v>
      </c>
      <c r="C10">
        <v>35</v>
      </c>
      <c r="D10">
        <v>32.5</v>
      </c>
      <c r="E10">
        <v>26.5</v>
      </c>
      <c r="F10">
        <v>25.5</v>
      </c>
      <c r="G10">
        <v>22</v>
      </c>
      <c r="H10">
        <v>22</v>
      </c>
      <c r="I10">
        <v>16</v>
      </c>
      <c r="J10">
        <v>12</v>
      </c>
    </row>
    <row r="11" spans="1:21" s="1" customFormat="1" x14ac:dyDescent="0.25">
      <c r="A11" s="12"/>
      <c r="B11" s="8" t="s">
        <v>14</v>
      </c>
      <c r="C11">
        <v>330</v>
      </c>
      <c r="D11">
        <v>335</v>
      </c>
      <c r="E11">
        <v>339</v>
      </c>
      <c r="F11">
        <v>345</v>
      </c>
      <c r="G11">
        <v>350</v>
      </c>
      <c r="H11">
        <v>355</v>
      </c>
      <c r="I11">
        <v>357</v>
      </c>
      <c r="J11">
        <v>360</v>
      </c>
      <c r="R11" s="2"/>
      <c r="S11" s="2"/>
      <c r="T11" s="2"/>
      <c r="U11" s="2"/>
    </row>
    <row r="12" spans="1:21" x14ac:dyDescent="0.25">
      <c r="A12" s="11" t="s">
        <v>15</v>
      </c>
      <c r="B12" s="7" t="s">
        <v>16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21" x14ac:dyDescent="0.25">
      <c r="A13" s="12"/>
      <c r="B13" s="8" t="s">
        <v>17</v>
      </c>
      <c r="C13">
        <v>350</v>
      </c>
      <c r="D13">
        <v>350</v>
      </c>
      <c r="E13">
        <v>350</v>
      </c>
      <c r="F13">
        <v>350</v>
      </c>
      <c r="G13">
        <v>350</v>
      </c>
      <c r="H13">
        <v>350</v>
      </c>
      <c r="I13">
        <v>350</v>
      </c>
      <c r="J13">
        <v>350</v>
      </c>
      <c r="K13">
        <v>350</v>
      </c>
      <c r="L13">
        <v>350</v>
      </c>
      <c r="M13">
        <v>350</v>
      </c>
      <c r="N13">
        <v>350</v>
      </c>
      <c r="O13">
        <v>350</v>
      </c>
      <c r="P13">
        <v>350</v>
      </c>
      <c r="Q13">
        <v>350</v>
      </c>
      <c r="R13">
        <v>350</v>
      </c>
    </row>
    <row r="14" spans="1:21" x14ac:dyDescent="0.25">
      <c r="A14" s="12"/>
      <c r="B14" s="8" t="s">
        <v>18</v>
      </c>
      <c r="C14">
        <v>20</v>
      </c>
      <c r="D14">
        <v>25</v>
      </c>
      <c r="E14">
        <v>30</v>
      </c>
      <c r="F14">
        <v>37</v>
      </c>
      <c r="G14">
        <v>40</v>
      </c>
      <c r="H14">
        <v>45</v>
      </c>
      <c r="I14">
        <v>45</v>
      </c>
      <c r="J14">
        <v>45</v>
      </c>
    </row>
    <row r="15" spans="1:21" s="2" customFormat="1" x14ac:dyDescent="0.25">
      <c r="A15" s="13"/>
      <c r="B15" s="9" t="s">
        <v>19</v>
      </c>
    </row>
    <row r="16" spans="1:21" x14ac:dyDescent="0.25">
      <c r="B16" s="5" t="s">
        <v>20</v>
      </c>
      <c r="C16">
        <f t="shared" ref="C16:S16" si="0">-C6*COS(RADIANS(C10-2.83))*C13/1000</f>
        <v>-1.5702056777668703</v>
      </c>
      <c r="D16">
        <f t="shared" si="0"/>
        <v>-6.0305367147524738</v>
      </c>
      <c r="E16">
        <f t="shared" si="0"/>
        <v>-10.049415693445349</v>
      </c>
      <c r="F16">
        <f t="shared" si="0"/>
        <v>-14.462104379205506</v>
      </c>
      <c r="G16">
        <f t="shared" si="0"/>
        <v>-18.54620852024544</v>
      </c>
      <c r="H16">
        <f t="shared" si="0"/>
        <v>-22.519923786080557</v>
      </c>
      <c r="I16">
        <f t="shared" si="0"/>
        <v>-25.525501816571964</v>
      </c>
      <c r="J16">
        <f t="shared" si="0"/>
        <v>-26.999475495745692</v>
      </c>
      <c r="K16">
        <f t="shared" si="0"/>
        <v>0</v>
      </c>
      <c r="L16">
        <f t="shared" si="0"/>
        <v>0</v>
      </c>
      <c r="M16">
        <f t="shared" si="0"/>
        <v>0</v>
      </c>
      <c r="N16">
        <f t="shared" si="0"/>
        <v>0</v>
      </c>
      <c r="O16">
        <f t="shared" si="0"/>
        <v>0</v>
      </c>
      <c r="P16">
        <f t="shared" si="0"/>
        <v>0</v>
      </c>
      <c r="Q16">
        <f t="shared" si="0"/>
        <v>0</v>
      </c>
      <c r="R16">
        <f t="shared" si="0"/>
        <v>0</v>
      </c>
      <c r="S16">
        <f t="shared" si="0"/>
        <v>0</v>
      </c>
    </row>
    <row r="17" spans="2:8" x14ac:dyDescent="0.25">
      <c r="B17" s="3" t="s">
        <v>21</v>
      </c>
      <c r="C17">
        <v>-1.5952</v>
      </c>
      <c r="D17">
        <v>-6.0761000000000003</v>
      </c>
      <c r="E17">
        <v>-10.005800000000001</v>
      </c>
      <c r="F17">
        <v>-14.3527</v>
      </c>
      <c r="G17">
        <v>-18.338999999999999</v>
      </c>
      <c r="H17">
        <v>-22.190799999999999</v>
      </c>
    </row>
    <row r="21" spans="2:8" x14ac:dyDescent="0.25">
      <c r="B21" s="3" t="s">
        <v>22</v>
      </c>
      <c r="C21" s="3" t="s">
        <v>21</v>
      </c>
    </row>
  </sheetData>
  <pageMargins left="0.7" right="0.7" top="0.75" bottom="0.75" header="0.3" footer="0.3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21"/>
  <sheetViews>
    <sheetView workbookViewId="0">
      <selection activeCell="N35" sqref="N35"/>
    </sheetView>
  </sheetViews>
  <sheetFormatPr defaultRowHeight="15" x14ac:dyDescent="0.25"/>
  <cols>
    <col min="1" max="1" width="9.140625" style="3" customWidth="1"/>
    <col min="2" max="2" width="25.140625" style="3" customWidth="1"/>
    <col min="3" max="3" width="12.28515625" customWidth="1"/>
    <col min="5" max="5" width="8.7109375" customWidth="1"/>
    <col min="6" max="6" width="11.28515625" customWidth="1"/>
    <col min="7" max="7" width="13.28515625" customWidth="1"/>
    <col min="8" max="9" width="13.42578125" customWidth="1"/>
    <col min="10" max="10" width="14" customWidth="1"/>
  </cols>
  <sheetData>
    <row r="1" spans="1:30" x14ac:dyDescent="0.25">
      <c r="A1" s="3" t="s">
        <v>0</v>
      </c>
    </row>
    <row r="2" spans="1:30" x14ac:dyDescent="0.25">
      <c r="A2" s="3" t="s">
        <v>1</v>
      </c>
      <c r="C2">
        <v>415</v>
      </c>
      <c r="E2" s="15" t="s">
        <v>2</v>
      </c>
      <c r="F2" s="16"/>
      <c r="G2" t="s">
        <v>3</v>
      </c>
    </row>
    <row r="3" spans="1:30" x14ac:dyDescent="0.25">
      <c r="B3" s="3" t="s">
        <v>4</v>
      </c>
      <c r="C3">
        <v>314</v>
      </c>
      <c r="D3" s="14" t="s">
        <v>5</v>
      </c>
      <c r="E3" s="17"/>
      <c r="F3" s="18">
        <f>(C2-E3)/C2</f>
        <v>1</v>
      </c>
      <c r="H3">
        <f>(C2-G3)/C2</f>
        <v>1</v>
      </c>
      <c r="U3" t="s">
        <v>25</v>
      </c>
      <c r="V3" t="s">
        <v>26</v>
      </c>
    </row>
    <row r="4" spans="1:30" ht="15" customHeight="1" thickBot="1" x14ac:dyDescent="0.3">
      <c r="B4" s="3" t="s">
        <v>6</v>
      </c>
      <c r="C4">
        <v>14</v>
      </c>
      <c r="D4" t="s">
        <v>5</v>
      </c>
      <c r="K4" t="s">
        <v>25</v>
      </c>
      <c r="U4" t="s">
        <v>26</v>
      </c>
      <c r="V4" t="s">
        <v>42</v>
      </c>
    </row>
    <row r="5" spans="1:30" s="27" customFormat="1" ht="15" customHeight="1" thickBot="1" x14ac:dyDescent="0.3">
      <c r="A5" s="23"/>
      <c r="B5" s="24" t="s">
        <v>7</v>
      </c>
      <c r="C5" s="25">
        <v>1</v>
      </c>
      <c r="D5" s="25">
        <v>2</v>
      </c>
      <c r="E5" s="25">
        <v>3</v>
      </c>
      <c r="F5" s="25">
        <v>4</v>
      </c>
      <c r="G5" s="25">
        <v>5</v>
      </c>
      <c r="H5" s="25">
        <v>6</v>
      </c>
      <c r="I5" s="25">
        <v>7</v>
      </c>
      <c r="J5" s="25">
        <v>8</v>
      </c>
      <c r="K5" s="26">
        <v>9</v>
      </c>
      <c r="L5" s="26">
        <v>10</v>
      </c>
      <c r="M5" s="26">
        <v>11</v>
      </c>
      <c r="N5" s="26">
        <v>12</v>
      </c>
      <c r="O5" s="26">
        <v>13</v>
      </c>
      <c r="P5" s="26">
        <v>14</v>
      </c>
      <c r="Q5" s="26">
        <v>15</v>
      </c>
      <c r="R5" s="26">
        <v>16</v>
      </c>
      <c r="S5" s="26">
        <v>17</v>
      </c>
      <c r="T5" s="26">
        <v>18</v>
      </c>
      <c r="U5" s="25">
        <v>19</v>
      </c>
      <c r="V5" s="25">
        <v>20</v>
      </c>
      <c r="W5" s="25">
        <v>21</v>
      </c>
      <c r="X5" s="25">
        <v>22</v>
      </c>
      <c r="Y5" s="27">
        <v>23</v>
      </c>
      <c r="Z5" s="27">
        <v>23</v>
      </c>
      <c r="AA5" s="27">
        <v>23</v>
      </c>
      <c r="AB5" s="27">
        <v>23</v>
      </c>
      <c r="AC5" s="27">
        <v>23</v>
      </c>
      <c r="AD5" s="27">
        <v>23</v>
      </c>
    </row>
    <row r="6" spans="1:30" x14ac:dyDescent="0.25">
      <c r="B6" s="13" t="s">
        <v>8</v>
      </c>
      <c r="C6" s="21">
        <v>18.5</v>
      </c>
      <c r="D6" s="21">
        <v>18.05</v>
      </c>
      <c r="E6" s="21">
        <v>32</v>
      </c>
      <c r="F6" s="21">
        <v>40.97</v>
      </c>
      <c r="G6" s="21">
        <v>44.4</v>
      </c>
      <c r="H6" s="21">
        <v>50.84</v>
      </c>
      <c r="I6" s="21">
        <v>62.45</v>
      </c>
      <c r="J6" s="21">
        <v>69.400000000000006</v>
      </c>
      <c r="K6" s="22">
        <v>91.7</v>
      </c>
      <c r="L6" s="22">
        <v>114.1</v>
      </c>
      <c r="M6" s="22">
        <v>129.80000000000001</v>
      </c>
      <c r="N6" s="22">
        <v>78</v>
      </c>
      <c r="O6" s="22">
        <v>92.78</v>
      </c>
      <c r="P6" s="22">
        <v>63.6</v>
      </c>
      <c r="Q6" s="22">
        <v>97.28</v>
      </c>
      <c r="R6" s="22">
        <v>71.92</v>
      </c>
      <c r="S6" s="22">
        <v>84.5</v>
      </c>
      <c r="T6" s="22">
        <v>93.9</v>
      </c>
      <c r="U6" s="21">
        <v>64.3</v>
      </c>
      <c r="V6" s="21">
        <v>70.599999999999994</v>
      </c>
      <c r="W6" s="21">
        <v>90.15</v>
      </c>
      <c r="X6" s="21">
        <v>70</v>
      </c>
    </row>
    <row r="7" spans="1:30" x14ac:dyDescent="0.25">
      <c r="B7" s="11" t="s">
        <v>9</v>
      </c>
      <c r="C7" s="19">
        <v>-125</v>
      </c>
      <c r="D7" s="19">
        <v>-114</v>
      </c>
      <c r="E7" s="19">
        <v>-98</v>
      </c>
      <c r="F7" s="19">
        <v>-83</v>
      </c>
      <c r="G7" s="19">
        <v>-75.5</v>
      </c>
      <c r="H7" s="19">
        <v>-69</v>
      </c>
      <c r="I7" s="19">
        <v>-55.5</v>
      </c>
      <c r="J7" s="19">
        <v>-53.000999999999998</v>
      </c>
      <c r="K7" s="20">
        <v>-53.01</v>
      </c>
      <c r="L7" s="20">
        <v>-41</v>
      </c>
      <c r="M7" s="20">
        <v>-30</v>
      </c>
      <c r="N7" s="20">
        <v>-26.01</v>
      </c>
      <c r="O7" s="20">
        <v>-26.001000000000001</v>
      </c>
      <c r="P7" s="20">
        <v>-18.5</v>
      </c>
      <c r="Q7" s="20">
        <v>-18</v>
      </c>
      <c r="R7" s="20">
        <v>-7</v>
      </c>
      <c r="S7" s="20">
        <v>-9</v>
      </c>
      <c r="T7" s="20">
        <v>0</v>
      </c>
      <c r="U7" s="19">
        <v>3</v>
      </c>
      <c r="V7" s="19">
        <v>7.7</v>
      </c>
      <c r="W7" s="19">
        <v>-6.5</v>
      </c>
      <c r="X7" s="19">
        <v>-32</v>
      </c>
    </row>
    <row r="8" spans="1:30" s="32" customFormat="1" ht="15" customHeight="1" thickBot="1" x14ac:dyDescent="0.3">
      <c r="A8" s="28"/>
      <c r="B8" s="29" t="s">
        <v>10</v>
      </c>
      <c r="C8" s="30">
        <v>613</v>
      </c>
      <c r="D8" s="30">
        <v>614</v>
      </c>
      <c r="E8" s="30">
        <v>614</v>
      </c>
      <c r="F8" s="30">
        <v>615</v>
      </c>
      <c r="G8" s="30">
        <v>615</v>
      </c>
      <c r="H8" s="30">
        <v>615</v>
      </c>
      <c r="I8" s="30">
        <v>618</v>
      </c>
      <c r="J8" s="30">
        <v>618</v>
      </c>
      <c r="K8" s="31">
        <v>620</v>
      </c>
      <c r="L8" s="31">
        <v>620</v>
      </c>
      <c r="M8" s="31">
        <v>620</v>
      </c>
      <c r="N8" s="31">
        <v>385</v>
      </c>
      <c r="O8" s="31">
        <v>451</v>
      </c>
      <c r="P8" s="31">
        <v>296.60000000000002</v>
      </c>
      <c r="Q8" s="31">
        <v>421</v>
      </c>
      <c r="R8" s="31">
        <v>281</v>
      </c>
      <c r="S8" s="31">
        <v>324.8</v>
      </c>
      <c r="T8" s="31">
        <v>325.58</v>
      </c>
      <c r="U8" s="30">
        <v>325.58</v>
      </c>
      <c r="V8" s="30">
        <v>325</v>
      </c>
      <c r="W8" s="30">
        <v>500</v>
      </c>
      <c r="X8" s="30">
        <v>560</v>
      </c>
    </row>
    <row r="9" spans="1:30" x14ac:dyDescent="0.25">
      <c r="A9" s="12" t="s">
        <v>11</v>
      </c>
      <c r="B9" s="3" t="s">
        <v>12</v>
      </c>
      <c r="C9" s="21"/>
      <c r="D9" s="21"/>
      <c r="E9" s="21"/>
      <c r="F9" s="21"/>
      <c r="G9" s="21"/>
      <c r="H9" s="21"/>
      <c r="I9" s="21"/>
      <c r="J9" s="21"/>
      <c r="K9" s="22"/>
      <c r="L9" s="22"/>
      <c r="M9" s="22"/>
      <c r="N9" s="22"/>
      <c r="O9" s="22"/>
      <c r="P9" s="22"/>
      <c r="Q9" s="22"/>
      <c r="R9" s="22"/>
      <c r="S9" s="22"/>
      <c r="T9" s="22"/>
      <c r="U9" s="21"/>
      <c r="V9" s="21"/>
      <c r="W9" s="21"/>
      <c r="X9" s="21"/>
    </row>
    <row r="10" spans="1:30" x14ac:dyDescent="0.25">
      <c r="A10" s="12"/>
      <c r="B10" s="3" t="s">
        <v>13</v>
      </c>
      <c r="C10" s="19">
        <v>32.5</v>
      </c>
      <c r="D10" s="19">
        <v>30</v>
      </c>
      <c r="E10" s="19">
        <v>28</v>
      </c>
      <c r="F10" s="19">
        <v>26</v>
      </c>
      <c r="G10" s="19">
        <v>24.5</v>
      </c>
      <c r="H10" s="19">
        <v>17</v>
      </c>
      <c r="I10" s="19">
        <v>20</v>
      </c>
      <c r="J10" s="19">
        <v>24</v>
      </c>
      <c r="K10" s="20">
        <v>-5</v>
      </c>
      <c r="L10" s="20">
        <v>-7</v>
      </c>
      <c r="M10" s="20">
        <v>-12</v>
      </c>
      <c r="N10" s="20">
        <v>-12</v>
      </c>
      <c r="O10" s="20">
        <v>-12</v>
      </c>
      <c r="P10" s="20">
        <v>-16.5</v>
      </c>
      <c r="Q10" s="20">
        <v>-15</v>
      </c>
      <c r="R10" s="20">
        <v>-19.5</v>
      </c>
      <c r="S10" s="20">
        <v>-15</v>
      </c>
      <c r="T10" s="20">
        <v>-17</v>
      </c>
      <c r="U10" s="19">
        <v>7</v>
      </c>
      <c r="V10" s="19">
        <v>5.5</v>
      </c>
      <c r="W10" s="19">
        <v>10</v>
      </c>
      <c r="X10" s="19">
        <v>13.5</v>
      </c>
    </row>
    <row r="11" spans="1:30" s="34" customFormat="1" ht="15" customHeight="1" thickBot="1" x14ac:dyDescent="0.3">
      <c r="A11" s="33"/>
      <c r="B11" s="28" t="s">
        <v>14</v>
      </c>
      <c r="C11" s="30">
        <v>334</v>
      </c>
      <c r="D11" s="30">
        <v>334</v>
      </c>
      <c r="E11" s="30">
        <v>338</v>
      </c>
      <c r="F11" s="30">
        <v>343</v>
      </c>
      <c r="G11" s="30" t="s">
        <v>47</v>
      </c>
      <c r="H11" s="30">
        <v>348</v>
      </c>
      <c r="I11" s="30">
        <v>356</v>
      </c>
      <c r="J11" s="30">
        <v>356</v>
      </c>
      <c r="K11" s="31">
        <v>357</v>
      </c>
      <c r="L11" s="31">
        <v>365</v>
      </c>
      <c r="M11" s="31">
        <v>368</v>
      </c>
      <c r="N11" s="31">
        <v>381</v>
      </c>
      <c r="O11" s="31">
        <v>377</v>
      </c>
      <c r="P11" s="31">
        <v>387</v>
      </c>
      <c r="Q11" s="31">
        <v>385</v>
      </c>
      <c r="R11" s="31">
        <v>396</v>
      </c>
      <c r="S11" s="31">
        <v>392</v>
      </c>
      <c r="T11" s="31">
        <v>397</v>
      </c>
      <c r="U11" s="30">
        <v>398</v>
      </c>
      <c r="V11" s="30">
        <v>401</v>
      </c>
      <c r="W11" s="30">
        <v>384</v>
      </c>
      <c r="X11" s="30">
        <v>367</v>
      </c>
    </row>
    <row r="12" spans="1:30" x14ac:dyDescent="0.25">
      <c r="A12" s="12" t="s">
        <v>15</v>
      </c>
      <c r="B12" s="3" t="s">
        <v>16</v>
      </c>
      <c r="C12" s="21"/>
      <c r="D12" s="21"/>
      <c r="E12" s="21"/>
      <c r="F12" s="21"/>
      <c r="G12" s="21"/>
      <c r="H12" s="21"/>
      <c r="I12" s="21"/>
      <c r="J12" s="21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1"/>
      <c r="V12" s="21"/>
      <c r="W12" s="21"/>
      <c r="X12" s="21"/>
    </row>
    <row r="13" spans="1:30" x14ac:dyDescent="0.25">
      <c r="A13" s="12"/>
      <c r="B13" s="3" t="s">
        <v>17</v>
      </c>
      <c r="C13" s="19">
        <v>350</v>
      </c>
      <c r="D13" s="19">
        <v>350</v>
      </c>
      <c r="E13" s="19">
        <v>350</v>
      </c>
      <c r="F13" s="19">
        <v>350</v>
      </c>
      <c r="G13" s="19">
        <v>350</v>
      </c>
      <c r="H13" s="19">
        <v>350</v>
      </c>
      <c r="I13" s="19">
        <v>350</v>
      </c>
      <c r="J13" s="19">
        <v>350</v>
      </c>
      <c r="K13" s="20">
        <v>255</v>
      </c>
      <c r="L13" s="20">
        <v>255</v>
      </c>
      <c r="M13" s="20">
        <v>255</v>
      </c>
      <c r="N13" s="20">
        <v>255</v>
      </c>
      <c r="O13" s="20">
        <v>255</v>
      </c>
      <c r="P13" s="20">
        <v>255</v>
      </c>
      <c r="Q13" s="20">
        <v>255</v>
      </c>
      <c r="R13" s="20">
        <v>255</v>
      </c>
      <c r="S13" s="20">
        <v>255</v>
      </c>
      <c r="T13" s="20">
        <v>255</v>
      </c>
      <c r="U13" s="19">
        <v>350</v>
      </c>
      <c r="V13" s="19">
        <v>350</v>
      </c>
      <c r="W13" s="19">
        <v>350</v>
      </c>
      <c r="X13" s="19">
        <v>350</v>
      </c>
      <c r="Y13">
        <v>350</v>
      </c>
      <c r="Z13">
        <v>350</v>
      </c>
      <c r="AA13">
        <v>350</v>
      </c>
      <c r="AB13">
        <v>350</v>
      </c>
      <c r="AC13">
        <v>350</v>
      </c>
      <c r="AD13">
        <v>350</v>
      </c>
    </row>
    <row r="14" spans="1:30" x14ac:dyDescent="0.25">
      <c r="A14" s="12"/>
      <c r="B14" s="3" t="s">
        <v>18</v>
      </c>
      <c r="C14" s="19">
        <v>25</v>
      </c>
      <c r="D14" s="19">
        <v>25</v>
      </c>
      <c r="E14" s="19">
        <v>35</v>
      </c>
      <c r="F14" s="19">
        <v>35</v>
      </c>
      <c r="G14" s="19" t="s">
        <v>47</v>
      </c>
      <c r="H14" s="19">
        <v>37</v>
      </c>
      <c r="I14" s="19">
        <v>40</v>
      </c>
      <c r="J14" s="19">
        <v>45</v>
      </c>
      <c r="K14" s="20">
        <v>48</v>
      </c>
      <c r="L14" s="20">
        <v>45</v>
      </c>
      <c r="M14" s="20">
        <v>40</v>
      </c>
      <c r="N14" s="20">
        <v>40</v>
      </c>
      <c r="O14" s="20">
        <v>40</v>
      </c>
      <c r="P14" s="20">
        <v>42</v>
      </c>
      <c r="Q14" s="20">
        <v>45</v>
      </c>
      <c r="R14" s="20">
        <v>46</v>
      </c>
      <c r="S14" s="20">
        <v>48</v>
      </c>
      <c r="T14" s="20">
        <v>48</v>
      </c>
      <c r="U14" s="19">
        <v>42</v>
      </c>
      <c r="V14" s="19">
        <v>43</v>
      </c>
      <c r="W14" s="19">
        <v>45</v>
      </c>
      <c r="X14" s="19">
        <v>38</v>
      </c>
    </row>
    <row r="15" spans="1:30" s="32" customFormat="1" ht="15" customHeight="1" thickBot="1" x14ac:dyDescent="0.3">
      <c r="A15" s="33"/>
      <c r="B15" s="28" t="s">
        <v>19</v>
      </c>
      <c r="C15" s="30"/>
      <c r="D15" s="30"/>
      <c r="E15" s="30"/>
      <c r="F15" s="30"/>
      <c r="G15" s="30"/>
      <c r="H15" s="30"/>
      <c r="I15" s="30"/>
      <c r="J15" s="30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0"/>
      <c r="V15" s="30"/>
      <c r="W15" s="30"/>
      <c r="X15" s="30"/>
    </row>
    <row r="16" spans="1:30" x14ac:dyDescent="0.25">
      <c r="B16" s="13" t="s">
        <v>20</v>
      </c>
      <c r="C16" s="21">
        <f t="shared" ref="C16:AD16" si="0">-C6*COS(RADIANS(C10-2.83))*C13/1000</f>
        <v>-5.6260680394816323</v>
      </c>
      <c r="D16" s="21">
        <f t="shared" si="0"/>
        <v>-5.620399172616299</v>
      </c>
      <c r="E16" s="21">
        <f t="shared" si="0"/>
        <v>-10.136558498526179</v>
      </c>
      <c r="F16" s="21">
        <f t="shared" si="0"/>
        <v>-13.182897163275499</v>
      </c>
      <c r="G16" s="21">
        <f t="shared" si="0"/>
        <v>-14.441726709946776</v>
      </c>
      <c r="H16" s="21">
        <f t="shared" si="0"/>
        <v>-17.25259369975322</v>
      </c>
      <c r="I16" s="21">
        <f t="shared" si="0"/>
        <v>-20.883378186341204</v>
      </c>
      <c r="J16" s="21">
        <f t="shared" si="0"/>
        <v>-22.6507412457938</v>
      </c>
      <c r="K16" s="22">
        <f t="shared" si="0"/>
        <v>-23.16548730865841</v>
      </c>
      <c r="L16" s="22">
        <f t="shared" si="0"/>
        <v>-28.66833854611783</v>
      </c>
      <c r="M16" s="22">
        <f t="shared" si="0"/>
        <v>-31.996455925810519</v>
      </c>
      <c r="N16" s="22">
        <f t="shared" si="0"/>
        <v>-19.227454254339136</v>
      </c>
      <c r="O16" s="22">
        <f t="shared" si="0"/>
        <v>-22.870810329712633</v>
      </c>
      <c r="P16" s="22">
        <f t="shared" si="0"/>
        <v>-15.303755097401908</v>
      </c>
      <c r="Q16" s="22">
        <f t="shared" si="0"/>
        <v>-23.614928776430023</v>
      </c>
      <c r="R16" s="22">
        <f t="shared" si="0"/>
        <v>-16.964330062819261</v>
      </c>
      <c r="S16" s="22">
        <f t="shared" si="0"/>
        <v>-20.512556348769913</v>
      </c>
      <c r="T16" s="22">
        <f t="shared" si="0"/>
        <v>-22.524669621589222</v>
      </c>
      <c r="U16" s="21">
        <f t="shared" si="0"/>
        <v>-22.445422242164838</v>
      </c>
      <c r="V16" s="21">
        <f t="shared" si="0"/>
        <v>-24.683174896031996</v>
      </c>
      <c r="W16" s="21">
        <f t="shared" si="0"/>
        <v>-31.305765433684865</v>
      </c>
      <c r="X16" s="21">
        <f t="shared" si="0"/>
        <v>-24.076391978101967</v>
      </c>
      <c r="Y16">
        <f t="shared" si="0"/>
        <v>0</v>
      </c>
      <c r="Z16">
        <f t="shared" si="0"/>
        <v>0</v>
      </c>
      <c r="AA16">
        <f t="shared" si="0"/>
        <v>0</v>
      </c>
      <c r="AB16">
        <f t="shared" si="0"/>
        <v>0</v>
      </c>
      <c r="AC16">
        <f t="shared" si="0"/>
        <v>0</v>
      </c>
      <c r="AD16">
        <f t="shared" si="0"/>
        <v>0</v>
      </c>
    </row>
    <row r="17" spans="2:24" x14ac:dyDescent="0.25">
      <c r="B17" s="3" t="s">
        <v>21</v>
      </c>
      <c r="C17" s="19">
        <v>-5.6921999999999997</v>
      </c>
      <c r="D17" s="19">
        <v>-5.6460999999999997</v>
      </c>
      <c r="E17" s="19">
        <v>-10.119</v>
      </c>
      <c r="F17" s="19">
        <v>-13.0959</v>
      </c>
      <c r="G17" s="19">
        <v>-14.3096</v>
      </c>
      <c r="H17" s="19">
        <v>-16.988900000000001</v>
      </c>
      <c r="I17" s="19">
        <v>-20.5703</v>
      </c>
      <c r="J17" s="19">
        <v>-22.3443</v>
      </c>
      <c r="K17" s="20">
        <v>-21.6006</v>
      </c>
      <c r="L17" s="20">
        <v>-26.778199999999998</v>
      </c>
      <c r="M17" s="20">
        <v>-29.898900000000001</v>
      </c>
      <c r="N17" s="20">
        <v>-17.993400000000001</v>
      </c>
      <c r="O17" s="20">
        <v>-21.352</v>
      </c>
      <c r="P17" s="20">
        <v>-14.3414</v>
      </c>
      <c r="Q17" s="20">
        <v>-22.144400000000001</v>
      </c>
      <c r="R17" s="20">
        <v>-15.975199999999999</v>
      </c>
      <c r="S17" s="20">
        <v>-19.305199999999999</v>
      </c>
      <c r="T17" s="20">
        <v>-21.282</v>
      </c>
      <c r="U17" s="19">
        <v>-21.993200000000002</v>
      </c>
      <c r="V17" s="19">
        <v>-24.202500000000001</v>
      </c>
      <c r="W17" s="19">
        <v>-30.650400000000001</v>
      </c>
      <c r="X17" s="19">
        <v>-23.6068</v>
      </c>
    </row>
    <row r="18" spans="2:24" x14ac:dyDescent="0.25">
      <c r="K18" t="s">
        <v>48</v>
      </c>
      <c r="U18" t="s">
        <v>49</v>
      </c>
    </row>
    <row r="19" spans="2:24" x14ac:dyDescent="0.25">
      <c r="U19" t="s">
        <v>50</v>
      </c>
      <c r="V19" t="s">
        <v>51</v>
      </c>
    </row>
    <row r="20" spans="2:24" x14ac:dyDescent="0.25">
      <c r="F20" t="s">
        <v>52</v>
      </c>
      <c r="V20" t="s">
        <v>53</v>
      </c>
    </row>
    <row r="21" spans="2:24" x14ac:dyDescent="0.25">
      <c r="B21" s="3" t="s">
        <v>22</v>
      </c>
      <c r="C21" s="3" t="s">
        <v>21</v>
      </c>
      <c r="F21">
        <f>AVERAGE(C8:M8)</f>
        <v>616.5454545454545</v>
      </c>
      <c r="V21" t="s">
        <v>54</v>
      </c>
    </row>
  </sheetData>
  <pageMargins left="0.7" right="0.7" top="0.75" bottom="0.75" header="0.3" footer="0.3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21"/>
  <sheetViews>
    <sheetView workbookViewId="0">
      <selection activeCell="K8" sqref="K8"/>
    </sheetView>
  </sheetViews>
  <sheetFormatPr defaultRowHeight="15" x14ac:dyDescent="0.25"/>
  <cols>
    <col min="1" max="1" width="9.140625" customWidth="1"/>
    <col min="2" max="2" width="25.140625" customWidth="1"/>
    <col min="3" max="3" width="12.28515625" customWidth="1"/>
    <col min="5" max="5" width="8.7109375" customWidth="1"/>
    <col min="6" max="6" width="11.28515625" customWidth="1"/>
    <col min="7" max="7" width="13.28515625" customWidth="1"/>
    <col min="8" max="8" width="13.42578125" customWidth="1"/>
    <col min="10" max="10" width="14" customWidth="1"/>
  </cols>
  <sheetData>
    <row r="1" spans="1:24" x14ac:dyDescent="0.25">
      <c r="A1" s="3" t="s">
        <v>0</v>
      </c>
    </row>
    <row r="2" spans="1:24" x14ac:dyDescent="0.25">
      <c r="A2" s="3" t="s">
        <v>1</v>
      </c>
    </row>
    <row r="3" spans="1:24" x14ac:dyDescent="0.25">
      <c r="B3" s="3" t="s">
        <v>4</v>
      </c>
      <c r="D3" s="14" t="s">
        <v>5</v>
      </c>
    </row>
    <row r="4" spans="1:24" x14ac:dyDescent="0.25">
      <c r="B4" s="3" t="s">
        <v>6</v>
      </c>
      <c r="D4" t="s">
        <v>5</v>
      </c>
    </row>
    <row r="5" spans="1:24" x14ac:dyDescent="0.25">
      <c r="B5" s="24" t="s">
        <v>7</v>
      </c>
      <c r="C5" s="35">
        <v>1</v>
      </c>
      <c r="D5" s="35">
        <v>2</v>
      </c>
      <c r="E5" s="35">
        <v>3</v>
      </c>
      <c r="F5" s="35">
        <v>4</v>
      </c>
      <c r="G5" s="35">
        <v>5</v>
      </c>
      <c r="H5" s="35">
        <v>6</v>
      </c>
      <c r="I5" s="35">
        <v>7</v>
      </c>
      <c r="J5" s="35">
        <v>8</v>
      </c>
      <c r="K5" s="35">
        <v>9</v>
      </c>
      <c r="L5" s="35">
        <v>10</v>
      </c>
      <c r="M5" s="35">
        <v>11</v>
      </c>
      <c r="N5" s="35">
        <v>12</v>
      </c>
      <c r="O5" s="35">
        <v>13</v>
      </c>
      <c r="P5" s="35">
        <v>14</v>
      </c>
      <c r="Q5" s="35">
        <v>15</v>
      </c>
      <c r="R5" s="35">
        <v>16</v>
      </c>
      <c r="S5" s="35">
        <v>17</v>
      </c>
      <c r="T5" s="35">
        <v>18</v>
      </c>
      <c r="U5" s="35">
        <v>19</v>
      </c>
      <c r="V5" s="35">
        <v>20</v>
      </c>
      <c r="W5" s="35">
        <v>21</v>
      </c>
      <c r="X5" s="35">
        <v>22</v>
      </c>
    </row>
    <row r="6" spans="1:24" x14ac:dyDescent="0.25">
      <c r="B6" s="13" t="s">
        <v>8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</row>
    <row r="7" spans="1:24" x14ac:dyDescent="0.25">
      <c r="B7" s="11" t="s">
        <v>9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</row>
    <row r="8" spans="1:24" ht="15.75" thickBot="1" x14ac:dyDescent="0.3">
      <c r="B8" s="29" t="s">
        <v>10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</row>
    <row r="9" spans="1:24" x14ac:dyDescent="0.25">
      <c r="A9" s="12" t="s">
        <v>11</v>
      </c>
      <c r="B9" s="3" t="s">
        <v>12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</row>
    <row r="10" spans="1:24" x14ac:dyDescent="0.25">
      <c r="B10" s="3" t="s">
        <v>13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</row>
    <row r="11" spans="1:24" ht="15.75" thickBot="1" x14ac:dyDescent="0.3">
      <c r="B11" s="28" t="s">
        <v>14</v>
      </c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</row>
    <row r="12" spans="1:24" x14ac:dyDescent="0.25">
      <c r="A12" s="12" t="s">
        <v>15</v>
      </c>
      <c r="B12" s="3" t="s">
        <v>16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</row>
    <row r="13" spans="1:24" x14ac:dyDescent="0.25">
      <c r="B13" s="3" t="s">
        <v>17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</row>
    <row r="14" spans="1:24" x14ac:dyDescent="0.25">
      <c r="B14" s="3" t="s">
        <v>18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</row>
    <row r="15" spans="1:24" ht="15.75" thickBot="1" x14ac:dyDescent="0.3">
      <c r="B15" s="28" t="s">
        <v>19</v>
      </c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</row>
    <row r="16" spans="1:24" x14ac:dyDescent="0.25">
      <c r="B16" s="13" t="s">
        <v>20</v>
      </c>
      <c r="C16" s="36">
        <f t="shared" ref="C16:X16" si="0">-C6*COS(RADIANS(C10-2.83))*C13/1000</f>
        <v>0</v>
      </c>
      <c r="D16" s="36">
        <f t="shared" si="0"/>
        <v>0</v>
      </c>
      <c r="E16" s="36">
        <f t="shared" si="0"/>
        <v>0</v>
      </c>
      <c r="F16" s="36">
        <f t="shared" si="0"/>
        <v>0</v>
      </c>
      <c r="G16" s="36">
        <f t="shared" si="0"/>
        <v>0</v>
      </c>
      <c r="H16" s="36">
        <f t="shared" si="0"/>
        <v>0</v>
      </c>
      <c r="I16" s="36">
        <f t="shared" si="0"/>
        <v>0</v>
      </c>
      <c r="J16" s="36">
        <f t="shared" si="0"/>
        <v>0</v>
      </c>
      <c r="K16" s="36">
        <f t="shared" si="0"/>
        <v>0</v>
      </c>
      <c r="L16" s="36">
        <f t="shared" si="0"/>
        <v>0</v>
      </c>
      <c r="M16" s="36">
        <f t="shared" si="0"/>
        <v>0</v>
      </c>
      <c r="N16" s="36">
        <f t="shared" si="0"/>
        <v>0</v>
      </c>
      <c r="O16" s="36">
        <f t="shared" si="0"/>
        <v>0</v>
      </c>
      <c r="P16" s="36">
        <f t="shared" si="0"/>
        <v>0</v>
      </c>
      <c r="Q16" s="36">
        <f t="shared" si="0"/>
        <v>0</v>
      </c>
      <c r="R16" s="36">
        <f t="shared" si="0"/>
        <v>0</v>
      </c>
      <c r="S16" s="36">
        <f t="shared" si="0"/>
        <v>0</v>
      </c>
      <c r="T16" s="36">
        <f t="shared" si="0"/>
        <v>0</v>
      </c>
      <c r="U16" s="36">
        <f t="shared" si="0"/>
        <v>0</v>
      </c>
      <c r="V16" s="36">
        <f t="shared" si="0"/>
        <v>0</v>
      </c>
      <c r="W16" s="36">
        <f t="shared" si="0"/>
        <v>0</v>
      </c>
      <c r="X16" s="36">
        <f t="shared" si="0"/>
        <v>0</v>
      </c>
    </row>
    <row r="17" spans="2:24" x14ac:dyDescent="0.25">
      <c r="B17" s="3" t="s">
        <v>21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</row>
    <row r="21" spans="2:24" x14ac:dyDescent="0.25">
      <c r="B21" s="3" t="s">
        <v>22</v>
      </c>
      <c r="C21" s="3" t="s">
        <v>21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ExtTest40mm_1</vt:lpstr>
      <vt:lpstr>ExtTest40mm_2</vt:lpstr>
      <vt:lpstr>ExtTest20mm_1</vt:lpstr>
      <vt:lpstr>ExtTest20mm_2</vt:lpstr>
      <vt:lpstr>FlxTest20mm_42cm</vt:lpstr>
      <vt:lpstr>FlxTest20mm_39cm</vt:lpstr>
      <vt:lpstr>FlxTest20mm_39cm (2)</vt:lpstr>
      <vt:lpstr>FlxTest20mm_42cm (2)</vt:lpstr>
      <vt:lpstr>FlxTest20mm_42cm (3)</vt:lpstr>
      <vt:lpstr>FlxTest20mm_51cm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Bolen</dc:creator>
  <cp:lastModifiedBy>Ben Bolen</cp:lastModifiedBy>
  <dcterms:created xsi:type="dcterms:W3CDTF">2021-05-24T00:23:13Z</dcterms:created>
  <dcterms:modified xsi:type="dcterms:W3CDTF">2026-10-22T11:30:50Z</dcterms:modified>
</cp:coreProperties>
</file>