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B80079B6-147F-4019-8A3C-DB46FCEA998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xtTest40mm_1" sheetId="1" r:id="rId1"/>
    <sheet name="ExtTest40mm_2" sheetId="2" r:id="rId2"/>
    <sheet name="ExtTest20mm_1" sheetId="10" r:id="rId3"/>
    <sheet name="ExtTest20mm_2" sheetId="3" r:id="rId4"/>
    <sheet name="FlxTest20mm_42cm" sheetId="4" r:id="rId5"/>
    <sheet name="FlxTest20mm_39cm" sheetId="5" r:id="rId6"/>
    <sheet name="FlxTest20mm_39cm (2)" sheetId="6" r:id="rId7"/>
    <sheet name="FlxTest20mm_42cm (2)" sheetId="7" r:id="rId8"/>
    <sheet name="FlxTest20mm_42cm (3)" sheetId="8" r:id="rId9"/>
    <sheet name="FlxTest20mm_51cm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6" i="10" l="1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C16" i="3"/>
  <c r="C17" i="2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F21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H3" i="5"/>
  <c r="F3" i="5"/>
  <c r="C3" i="5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M3" i="4"/>
  <c r="F3" i="4"/>
  <c r="C3" i="4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2" i="2"/>
  <c r="C3" i="2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N3" i="1"/>
  <c r="I3" i="1"/>
  <c r="D3" i="1"/>
  <c r="C3" i="1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</calcChain>
</file>

<file path=xl/sharedStrings.xml><?xml version="1.0" encoding="utf-8"?>
<sst xmlns="http://schemas.openxmlformats.org/spreadsheetml/2006/main" count="296" uniqueCount="59">
  <si>
    <t>Flexor Test 20mm</t>
  </si>
  <si>
    <t>Resting muscle length</t>
  </si>
  <si>
    <t>"@" 620 kPa</t>
  </si>
  <si>
    <t>"@" 600 kPa</t>
  </si>
  <si>
    <t>expected max contract</t>
  </si>
  <si>
    <t>actual</t>
  </si>
  <si>
    <t>tendon length</t>
  </si>
  <si>
    <t>Test #</t>
  </si>
  <si>
    <t>Load (N)</t>
  </si>
  <si>
    <t>Knee angle</t>
  </si>
  <si>
    <t>Pressure (kPa</t>
  </si>
  <si>
    <t>Hand</t>
  </si>
  <si>
    <t>Load cell angle (real ICR)</t>
  </si>
  <si>
    <t>Load cell angle (tibia)</t>
  </si>
  <si>
    <t>muscle length</t>
  </si>
  <si>
    <t>MA</t>
  </si>
  <si>
    <t>ICR (spline)</t>
  </si>
  <si>
    <t>Tibia origin (matlab)</t>
  </si>
  <si>
    <t>ICR to muscle</t>
  </si>
  <si>
    <t>dl/dtheta</t>
  </si>
  <si>
    <t>Torque</t>
  </si>
  <si>
    <t>Torque actual</t>
  </si>
  <si>
    <t>Moment arm</t>
  </si>
  <si>
    <t>Extensor Test 40mm</t>
  </si>
  <si>
    <t>tendon</t>
  </si>
  <si>
    <t>*</t>
  </si>
  <si>
    <t>**</t>
  </si>
  <si>
    <t>% contraction</t>
  </si>
  <si>
    <t>*changed pressure from 100 kPa to 230 kPa</t>
  </si>
  <si>
    <t>**Increased pressure to 380 kPa</t>
  </si>
  <si>
    <t>Added pulley in system</t>
  </si>
  <si>
    <t>Vas_Pam insertion wrt arbitrary knee loc</t>
  </si>
  <si>
    <t>x</t>
  </si>
  <si>
    <t>y</t>
  </si>
  <si>
    <t>z</t>
  </si>
  <si>
    <t>Pressure (gauge)</t>
  </si>
  <si>
    <t>contraction</t>
  </si>
  <si>
    <t>Human Vas_int Torque</t>
  </si>
  <si>
    <t>*Leg assembly started breaking when load cell was reading 124 N of force</t>
  </si>
  <si>
    <t>distal</t>
  </si>
  <si>
    <t>proximal</t>
  </si>
  <si>
    <t>Extensor Test 20mm</t>
  </si>
  <si>
    <t>***</t>
  </si>
  <si>
    <t>*BPA Started to kink at 7</t>
  </si>
  <si>
    <t>**Pressure stepped up from 300kPa to 500kPa on test 11-15</t>
  </si>
  <si>
    <t>***Pressure stepped up from 500kPa to 620kPa on test 16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</si>
  <si>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</si>
  <si>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</si>
  <si>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</si>
  <si>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</si>
  <si>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</si>
  <si>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</si>
  <si>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avg pres</t>
  </si>
  <si>
    <t>***411mm uninflated</t>
  </si>
  <si>
    <t>Max extension possible with current knee and test jig</t>
  </si>
  <si>
    <t>BPA#1</t>
  </si>
  <si>
    <t>BPA#2</t>
  </si>
  <si>
    <t>kmax</t>
  </si>
  <si>
    <t>Torque at 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</si>
</sst>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  <xf numFmtId="0" fontId="1" fillId="0" borderId="15" xfId="0" applyFont="1" applyBorder="1"/>
    <xf numFmtId="0" fontId="0" fillId="0" borderId="9" xfId="0" applyBorder="1"/>
    <xf numFmtId="0" fontId="0" fillId="0" borderId="1" xfId="0" applyBorder="1"/>
    <xf numFmtId="0" fontId="0" fillId="0" borderId="19" xfId="0" applyBorder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2-4CC9-84A0-9D584220C280}"/>
            </c:ext>
          </c:extLst>
        </c:ser>
        <c:ser>
          <c:idx val="1"/>
          <c:order val="1"/>
          <c:tx>
            <c:v>230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2-4CC9-84A0-9D584220C280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2-4CC9-84A0-9D584220C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ExtTest20mm_1!$C$7:$X$7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ExtTest20mm_1!$C$16:$X$16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A-4C5B-BA43-A58DAB212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ExtTest20mm_2!$C$7:$X$7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ExtTest20mm_2!$C$16:$X$16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37-4FC1-8A2D-AAA215DD1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9C-4AD7-BEC4-086D0D7C5493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9C-4AD7-BEC4-086D0D7C549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9C-4AD7-BEC4-086D0D7C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6-4771-8BEB-270FED64EA26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E6-4771-8BEB-270FED64EA26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E6-4771-8BEB-270FED64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97-422A-9758-957B933614E7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7-422A-9758-957B933614E7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97-422A-9758-957B93361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1-4D9A-B379-377146290C08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21-4D9A-B379-377146290C08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21-4D9A-B379-377146290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E-4B1B-8BF0-F2CB549190B5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9E-4B1B-8BF0-F2CB549190B5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9E-4B1B-8BF0-F2CB5491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20 mm Flexor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FlxTest20mm_51cm!$C$7:$X$7</c:f>
              <c:numCache>
                <c:formatCode>General</c:formatCode>
                <c:ptCount val="22"/>
              </c:numCache>
            </c:numRef>
          </c:xVal>
          <c:yVal>
            <c:numRef>
              <c:f>FlxTest20mm_51cm!$C$16:$X$16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1D-4E97-A3D3-CC32CBB65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EC0F2-1CA3-47DE-813F-F23689B2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A13" workbookViewId="0">
      <selection activeCell="D16" sqref="D16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23</v>
      </c>
    </row>
    <row r="2" spans="1:17" x14ac:dyDescent="0.3">
      <c r="A2" s="3" t="s">
        <v>1</v>
      </c>
      <c r="C2">
        <v>557</v>
      </c>
    </row>
    <row r="3" spans="1:17" x14ac:dyDescent="0.3">
      <c r="B3" s="3" t="s">
        <v>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3">
      <c r="B4" s="3" t="s">
        <v>24</v>
      </c>
      <c r="C4">
        <v>30</v>
      </c>
      <c r="J4" t="s">
        <v>25</v>
      </c>
      <c r="O4" t="s">
        <v>26</v>
      </c>
    </row>
    <row r="5" spans="1:17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8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3">
      <c r="B7" s="6" t="s">
        <v>9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3">
      <c r="A8" s="11" t="s">
        <v>11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3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3">
      <c r="A10" s="12"/>
      <c r="B10" s="8" t="s">
        <v>14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3">
      <c r="A11" s="12"/>
      <c r="B11" s="8" t="s">
        <v>27</v>
      </c>
      <c r="C11">
        <f t="shared" ref="C11:P11" si="0">($C$2-C10)/$C$2</f>
        <v>4.3087971274685818E-2</v>
      </c>
      <c r="D11">
        <f t="shared" si="0"/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3">
      <c r="A12" s="11" t="s">
        <v>15</v>
      </c>
      <c r="B12" s="7" t="s">
        <v>16</v>
      </c>
    </row>
    <row r="13" spans="1:17" x14ac:dyDescent="0.3">
      <c r="A13" s="12"/>
      <c r="B13" s="8" t="s">
        <v>17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3">
      <c r="A14" s="12"/>
      <c r="B14" s="8" t="s">
        <v>18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3">
      <c r="A15" s="13"/>
      <c r="B15" s="9" t="s">
        <v>19</v>
      </c>
    </row>
    <row r="16" spans="1:17" x14ac:dyDescent="0.3">
      <c r="B16" s="5" t="s">
        <v>20</v>
      </c>
      <c r="C16">
        <f t="shared" ref="C16:K16" si="1">C6*COS(RADIANS(C9-3.05))*C13/1000</f>
        <v>6.8530172364026392</v>
      </c>
      <c r="D16">
        <f t="shared" si="1"/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3">
      <c r="J17" t="s">
        <v>28</v>
      </c>
    </row>
    <row r="18" spans="2:15" x14ac:dyDescent="0.3">
      <c r="O18" t="s">
        <v>29</v>
      </c>
    </row>
    <row r="19" spans="2:15" x14ac:dyDescent="0.3">
      <c r="O19" t="s">
        <v>30</v>
      </c>
    </row>
    <row r="20" spans="2:15" x14ac:dyDescent="0.3">
      <c r="B20" s="3" t="s">
        <v>22</v>
      </c>
      <c r="C20" s="3" t="s">
        <v>21</v>
      </c>
    </row>
    <row r="21" spans="2:15" x14ac:dyDescent="0.3">
      <c r="C21">
        <v>6.1297215268519301</v>
      </c>
      <c r="K21" t="s">
        <v>31</v>
      </c>
    </row>
    <row r="22" spans="2:15" x14ac:dyDescent="0.3">
      <c r="C22">
        <v>2.7479725044346299</v>
      </c>
      <c r="K22" t="s">
        <v>32</v>
      </c>
      <c r="L22" t="s">
        <v>33</v>
      </c>
      <c r="M22" t="s">
        <v>34</v>
      </c>
    </row>
    <row r="23" spans="2:15" x14ac:dyDescent="0.3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3">
      <c r="C24">
        <v>0.39396830053809201</v>
      </c>
    </row>
    <row r="25" spans="2:15" x14ac:dyDescent="0.3">
      <c r="C25">
        <v>0.87997523971335201</v>
      </c>
      <c r="K25" t="s">
        <v>31</v>
      </c>
    </row>
    <row r="26" spans="2:15" x14ac:dyDescent="0.3">
      <c r="C26">
        <v>1.3017605698980601</v>
      </c>
      <c r="K26" t="s">
        <v>32</v>
      </c>
      <c r="L26" t="s">
        <v>33</v>
      </c>
      <c r="M26" t="s">
        <v>34</v>
      </c>
    </row>
    <row r="27" spans="2:15" x14ac:dyDescent="0.3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3">
      <c r="C28">
        <v>5.7663175704745298</v>
      </c>
    </row>
    <row r="29" spans="2:15" x14ac:dyDescent="0.3">
      <c r="C29">
        <v>0.99793195771798704</v>
      </c>
    </row>
    <row r="30" spans="2:15" x14ac:dyDescent="0.3">
      <c r="C30">
        <v>1.17473937755851</v>
      </c>
    </row>
    <row r="31" spans="2:15" x14ac:dyDescent="0.3">
      <c r="C31">
        <v>5.6669972560913404</v>
      </c>
    </row>
    <row r="32" spans="2:15" x14ac:dyDescent="0.3">
      <c r="C32">
        <v>3.0532323371378101</v>
      </c>
    </row>
    <row r="33" spans="3:3" x14ac:dyDescent="0.3">
      <c r="C33">
        <v>9.8822570388584001</v>
      </c>
    </row>
    <row r="34" spans="3:3" x14ac:dyDescent="0.3">
      <c r="C34">
        <v>5.8339811315985299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opLeftCell="A4" workbookViewId="0">
      <selection activeCell="G33" sqref="G33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23</v>
      </c>
    </row>
    <row r="2" spans="1:17" x14ac:dyDescent="0.3">
      <c r="A2" s="3" t="s">
        <v>1</v>
      </c>
      <c r="C2">
        <v>557</v>
      </c>
    </row>
    <row r="3" spans="1:17" x14ac:dyDescent="0.3">
      <c r="B3" s="3" t="s">
        <v>4</v>
      </c>
      <c r="C3">
        <f>C2-C2*0.17</f>
        <v>462.31</v>
      </c>
    </row>
    <row r="4" spans="1:17" x14ac:dyDescent="0.3">
      <c r="B4" s="3" t="s">
        <v>24</v>
      </c>
      <c r="C4">
        <v>90</v>
      </c>
    </row>
    <row r="5" spans="1:17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8</v>
      </c>
      <c r="C6">
        <v>84.117999999999995</v>
      </c>
      <c r="D6">
        <v>124</v>
      </c>
    </row>
    <row r="7" spans="1:17" x14ac:dyDescent="0.3">
      <c r="B7" s="6" t="s">
        <v>9</v>
      </c>
      <c r="C7">
        <v>6</v>
      </c>
      <c r="D7">
        <v>-16</v>
      </c>
    </row>
    <row r="8" spans="1:17" x14ac:dyDescent="0.3">
      <c r="B8" s="4" t="s">
        <v>35</v>
      </c>
      <c r="C8">
        <v>604</v>
      </c>
      <c r="D8">
        <v>530</v>
      </c>
    </row>
    <row r="9" spans="1:17" s="1" customFormat="1" x14ac:dyDescent="0.3">
      <c r="A9" s="11" t="s">
        <v>11</v>
      </c>
      <c r="B9" s="7" t="s">
        <v>12</v>
      </c>
      <c r="C9" s="1">
        <v>16.5</v>
      </c>
    </row>
    <row r="10" spans="1:17" x14ac:dyDescent="0.3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3">
      <c r="A11" s="12"/>
      <c r="B11" s="8" t="s">
        <v>14</v>
      </c>
      <c r="C11">
        <v>399</v>
      </c>
    </row>
    <row r="12" spans="1:17" x14ac:dyDescent="0.3">
      <c r="A12" s="12"/>
      <c r="B12" s="8" t="s">
        <v>36</v>
      </c>
      <c r="C12">
        <f>($C$2-C11)/$C$2</f>
        <v>0.28366247755834828</v>
      </c>
    </row>
    <row r="13" spans="1:17" s="1" customFormat="1" x14ac:dyDescent="0.3">
      <c r="A13" s="11" t="s">
        <v>15</v>
      </c>
      <c r="B13" s="7" t="s">
        <v>16</v>
      </c>
    </row>
    <row r="14" spans="1:17" x14ac:dyDescent="0.3">
      <c r="A14" s="12"/>
      <c r="B14" s="8" t="s">
        <v>17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3">
      <c r="A15" s="12"/>
      <c r="B15" s="8" t="s">
        <v>18</v>
      </c>
      <c r="C15">
        <v>65</v>
      </c>
    </row>
    <row r="16" spans="1:17" s="2" customFormat="1" x14ac:dyDescent="0.3">
      <c r="A16" s="13"/>
      <c r="B16" s="9" t="s">
        <v>19</v>
      </c>
    </row>
    <row r="17" spans="2:17" x14ac:dyDescent="0.3">
      <c r="B17" s="5" t="s">
        <v>20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3">
      <c r="B18" s="4" t="s">
        <v>37</v>
      </c>
      <c r="C18">
        <v>30.556999999999999</v>
      </c>
      <c r="D18">
        <v>48</v>
      </c>
    </row>
    <row r="19" spans="2:17" x14ac:dyDescent="0.3">
      <c r="D19" t="s">
        <v>38</v>
      </c>
    </row>
    <row r="21" spans="2:17" x14ac:dyDescent="0.3">
      <c r="C21" t="s">
        <v>31</v>
      </c>
      <c r="I21" s="3" t="s">
        <v>22</v>
      </c>
      <c r="J21" s="3" t="s">
        <v>21</v>
      </c>
    </row>
    <row r="22" spans="2:17" x14ac:dyDescent="0.3">
      <c r="C22" t="s">
        <v>32</v>
      </c>
      <c r="D22" t="s">
        <v>33</v>
      </c>
      <c r="E22" t="s">
        <v>34</v>
      </c>
      <c r="G22" t="s">
        <v>39</v>
      </c>
      <c r="I22" s="3"/>
      <c r="J22">
        <v>18.260899999999999</v>
      </c>
    </row>
    <row r="23" spans="2:17" x14ac:dyDescent="0.3">
      <c r="C23">
        <v>2.018E-2</v>
      </c>
      <c r="D23">
        <v>-0.11126999999999999</v>
      </c>
      <c r="E23">
        <v>0</v>
      </c>
    </row>
    <row r="25" spans="2:17" x14ac:dyDescent="0.3">
      <c r="C25" t="s">
        <v>31</v>
      </c>
    </row>
    <row r="26" spans="2:17" x14ac:dyDescent="0.3">
      <c r="C26" t="s">
        <v>32</v>
      </c>
      <c r="D26" t="s">
        <v>33</v>
      </c>
      <c r="E26" t="s">
        <v>34</v>
      </c>
      <c r="G26" t="s">
        <v>40</v>
      </c>
    </row>
    <row r="27" spans="2:17" x14ac:dyDescent="0.3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FBF4-5987-49CA-839E-BE22E507CBB9}">
  <dimension ref="A1:X21"/>
  <sheetViews>
    <sheetView workbookViewId="0">
      <selection activeCell="G21" sqref="G21"/>
    </sheetView>
  </sheetViews>
  <sheetFormatPr defaultRowHeight="14.4" x14ac:dyDescent="0.3"/>
  <cols>
    <col min="1" max="1" width="9.109375" customWidth="1"/>
    <col min="2" max="2" width="25.109375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3.44140625" customWidth="1"/>
    <col min="10" max="10" width="14" customWidth="1"/>
  </cols>
  <sheetData>
    <row r="1" spans="1:24" x14ac:dyDescent="0.3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3">
      <c r="A2" s="3" t="s">
        <v>1</v>
      </c>
    </row>
    <row r="3" spans="1:24" x14ac:dyDescent="0.3">
      <c r="B3" s="3" t="s">
        <v>4</v>
      </c>
      <c r="E3" s="14" t="s">
        <v>5</v>
      </c>
      <c r="H3" t="s">
        <v>57</v>
      </c>
    </row>
    <row r="4" spans="1:24" ht="15" thickBot="1" x14ac:dyDescent="0.35">
      <c r="B4" s="3" t="s">
        <v>6</v>
      </c>
      <c r="E4" s="39" t="s">
        <v>5</v>
      </c>
    </row>
    <row r="5" spans="1:24" ht="15" thickBot="1" x14ac:dyDescent="0.35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3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3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" thickBot="1" x14ac:dyDescent="0.35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3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" thickBot="1" x14ac:dyDescent="0.35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3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3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thickBot="1" x14ac:dyDescent="0.35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B16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3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3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1"/>
  <sheetViews>
    <sheetView tabSelected="1" workbookViewId="0">
      <selection activeCell="C6" sqref="C6"/>
    </sheetView>
  </sheetViews>
  <sheetFormatPr defaultRowHeight="14.4" x14ac:dyDescent="0.3"/>
  <cols>
    <col min="1" max="1" width="9.109375" customWidth="1"/>
    <col min="2" max="2" width="25.109375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3.44140625" customWidth="1"/>
    <col min="10" max="10" width="14" customWidth="1"/>
  </cols>
  <sheetData>
    <row r="1" spans="1:24" x14ac:dyDescent="0.3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3">
      <c r="A2" s="3" t="s">
        <v>1</v>
      </c>
    </row>
    <row r="3" spans="1:24" x14ac:dyDescent="0.3">
      <c r="B3" s="3" t="s">
        <v>4</v>
      </c>
      <c r="E3" s="14" t="s">
        <v>5</v>
      </c>
      <c r="H3" t="s">
        <v>57</v>
      </c>
    </row>
    <row r="4" spans="1:24" ht="15" thickBot="1" x14ac:dyDescent="0.35">
      <c r="B4" s="3" t="s">
        <v>6</v>
      </c>
      <c r="E4" s="39" t="s">
        <v>5</v>
      </c>
    </row>
    <row r="5" spans="1:24" ht="15" thickBot="1" x14ac:dyDescent="0.35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3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3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" thickBot="1" x14ac:dyDescent="0.35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3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" thickBot="1" x14ac:dyDescent="0.35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3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3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thickBot="1" x14ac:dyDescent="0.35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B16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3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3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1"/>
  <sheetViews>
    <sheetView workbookViewId="0">
      <selection activeCell="E3" sqref="E3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423</v>
      </c>
    </row>
    <row r="3" spans="1:21" x14ac:dyDescent="0.3">
      <c r="B3" s="3" t="s">
        <v>4</v>
      </c>
      <c r="C3">
        <f>C2-C2*0.17</f>
        <v>351.09</v>
      </c>
      <c r="D3" s="14" t="s">
        <v>5</v>
      </c>
      <c r="E3">
        <v>322</v>
      </c>
      <c r="F3">
        <f>(C2-E3)/C2</f>
        <v>0.23877068557919623</v>
      </c>
      <c r="M3">
        <f>1-369.5/423</f>
        <v>0.12647754137115841</v>
      </c>
    </row>
    <row r="4" spans="1:21" x14ac:dyDescent="0.3">
      <c r="B4" s="3" t="s">
        <v>6</v>
      </c>
      <c r="C4">
        <v>17</v>
      </c>
      <c r="I4" t="s">
        <v>25</v>
      </c>
      <c r="M4" t="s">
        <v>26</v>
      </c>
      <c r="R4" t="s">
        <v>42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1" x14ac:dyDescent="0.3">
      <c r="B7" s="6" t="s">
        <v>9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1" x14ac:dyDescent="0.3">
      <c r="B8" s="7" t="s">
        <v>10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1" s="1" customFormat="1" x14ac:dyDescent="0.3">
      <c r="A9" s="11" t="s">
        <v>11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1" x14ac:dyDescent="0.3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1" s="1" customFormat="1" x14ac:dyDescent="0.3">
      <c r="A11" s="12"/>
      <c r="B11" s="8" t="s">
        <v>14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1" x14ac:dyDescent="0.3">
      <c r="A14" s="12"/>
      <c r="B14" s="8" t="s">
        <v>18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-9.9520752292838743</v>
      </c>
      <c r="D16">
        <f t="shared" si="0"/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3">
      <c r="B17" s="3" t="s">
        <v>21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3">
      <c r="J18" t="s">
        <v>43</v>
      </c>
    </row>
    <row r="19" spans="2:19" x14ac:dyDescent="0.3">
      <c r="M19" t="s">
        <v>44</v>
      </c>
    </row>
    <row r="20" spans="2:19" x14ac:dyDescent="0.3">
      <c r="R20" t="s">
        <v>45</v>
      </c>
    </row>
    <row r="21" spans="2:19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I11" sqref="I11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3">
      <c r="B4" s="3" t="s">
        <v>6</v>
      </c>
      <c r="C4">
        <v>17</v>
      </c>
      <c r="D4" t="s">
        <v>5</v>
      </c>
      <c r="I4" t="s">
        <v>25</v>
      </c>
      <c r="M4" t="s">
        <v>26</v>
      </c>
      <c r="R4" t="s">
        <v>42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1" x14ac:dyDescent="0.3">
      <c r="B7" s="6" t="s">
        <v>9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1" x14ac:dyDescent="0.3">
      <c r="B8" s="7" t="s">
        <v>10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1" s="1" customFormat="1" x14ac:dyDescent="0.3">
      <c r="A11" s="12"/>
      <c r="B11" s="8" t="s">
        <v>14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-5.6541833371388703</v>
      </c>
      <c r="D16">
        <f t="shared" si="0"/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3">
      <c r="B17" s="3" t="s">
        <v>21</v>
      </c>
    </row>
    <row r="21" spans="2:3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G36" sqref="G36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3">
      <c r="B4" s="3" t="s">
        <v>6</v>
      </c>
      <c r="C4">
        <v>25</v>
      </c>
      <c r="D4" t="s">
        <v>5</v>
      </c>
      <c r="G4" t="s">
        <v>25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10.6</v>
      </c>
      <c r="D6">
        <v>28.6</v>
      </c>
      <c r="E6">
        <v>36.9</v>
      </c>
      <c r="F6">
        <v>50.45</v>
      </c>
    </row>
    <row r="7" spans="1:21" x14ac:dyDescent="0.3">
      <c r="B7" s="6" t="s">
        <v>9</v>
      </c>
      <c r="C7">
        <v>-125</v>
      </c>
      <c r="D7">
        <v>-112</v>
      </c>
      <c r="E7">
        <v>-91.5</v>
      </c>
      <c r="F7">
        <v>-75</v>
      </c>
    </row>
    <row r="8" spans="1:21" x14ac:dyDescent="0.3">
      <c r="B8" s="7" t="s">
        <v>10</v>
      </c>
      <c r="C8">
        <v>608</v>
      </c>
      <c r="D8">
        <v>610</v>
      </c>
      <c r="E8">
        <v>610</v>
      </c>
      <c r="F8">
        <v>608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1" s="1" customFormat="1" x14ac:dyDescent="0.3">
      <c r="A11" s="12"/>
      <c r="B11" s="8" t="s">
        <v>14</v>
      </c>
      <c r="C11">
        <v>325</v>
      </c>
      <c r="D11">
        <v>327</v>
      </c>
      <c r="E11">
        <v>332</v>
      </c>
      <c r="F11">
        <v>335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10</v>
      </c>
      <c r="D14">
        <v>15</v>
      </c>
      <c r="E14">
        <v>25</v>
      </c>
      <c r="F14">
        <v>25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-3.2074362177995286</v>
      </c>
      <c r="D16">
        <f t="shared" si="0"/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3">
      <c r="B17" s="3" t="s">
        <v>21</v>
      </c>
      <c r="G17" t="s">
        <v>46</v>
      </c>
    </row>
    <row r="21" spans="2:7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N35" sqref="N35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1" x14ac:dyDescent="0.3">
      <c r="A1" s="3" t="s">
        <v>0</v>
      </c>
    </row>
    <row r="2" spans="1:21" x14ac:dyDescent="0.3">
      <c r="A2" s="3" t="s">
        <v>1</v>
      </c>
      <c r="C2">
        <v>420</v>
      </c>
      <c r="E2" s="15" t="s">
        <v>2</v>
      </c>
      <c r="F2" s="16"/>
      <c r="G2" t="s">
        <v>3</v>
      </c>
    </row>
    <row r="3" spans="1:21" x14ac:dyDescent="0.3">
      <c r="B3" s="3" t="s">
        <v>4</v>
      </c>
      <c r="C3">
        <f>C2*(1-0.25)</f>
        <v>315</v>
      </c>
      <c r="D3" s="14" t="s">
        <v>5</v>
      </c>
      <c r="E3" s="17"/>
      <c r="F3" s="18">
        <f>(C2-E3)/C2</f>
        <v>1</v>
      </c>
      <c r="H3">
        <f>(C2-G3)/C2</f>
        <v>1</v>
      </c>
    </row>
    <row r="4" spans="1:21" x14ac:dyDescent="0.3">
      <c r="B4" s="3" t="s">
        <v>6</v>
      </c>
      <c r="C4">
        <v>15</v>
      </c>
      <c r="D4" t="s">
        <v>5</v>
      </c>
    </row>
    <row r="5" spans="1:21" s="10" customFormat="1" x14ac:dyDescent="0.3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3">
      <c r="B6" s="5" t="s">
        <v>8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1" x14ac:dyDescent="0.3">
      <c r="B7" s="6" t="s">
        <v>9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1" x14ac:dyDescent="0.3">
      <c r="B8" s="7" t="s">
        <v>10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1" s="1" customFormat="1" x14ac:dyDescent="0.3">
      <c r="A9" s="11" t="s">
        <v>11</v>
      </c>
      <c r="B9" s="7" t="s">
        <v>12</v>
      </c>
    </row>
    <row r="10" spans="1:21" x14ac:dyDescent="0.3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1" s="1" customFormat="1" x14ac:dyDescent="0.3">
      <c r="A11" s="12"/>
      <c r="B11" s="8" t="s">
        <v>14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R11" s="2"/>
      <c r="S11" s="2"/>
      <c r="T11" s="2"/>
      <c r="U11" s="2"/>
    </row>
    <row r="12" spans="1:21" x14ac:dyDescent="0.3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3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3">
      <c r="A14" s="12"/>
      <c r="B14" s="8" t="s">
        <v>18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1" s="2" customFormat="1" x14ac:dyDescent="0.3">
      <c r="A15" s="13"/>
      <c r="B15" s="9" t="s">
        <v>19</v>
      </c>
    </row>
    <row r="16" spans="1:21" x14ac:dyDescent="0.3">
      <c r="B16" s="5" t="s">
        <v>20</v>
      </c>
      <c r="C16">
        <f t="shared" ref="C16:S16" si="0">-C6*COS(RADIANS(C10-2.83))*C13/1000</f>
        <v>-1.5702056777668703</v>
      </c>
      <c r="D16">
        <f t="shared" si="0"/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3">
      <c r="B17" s="3" t="s">
        <v>21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3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1"/>
  <sheetViews>
    <sheetView workbookViewId="0">
      <selection activeCell="N35" sqref="N35"/>
    </sheetView>
  </sheetViews>
  <sheetFormatPr defaultRowHeight="14.4" x14ac:dyDescent="0.3"/>
  <cols>
    <col min="1" max="1" width="9.109375" style="3" customWidth="1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0" x14ac:dyDescent="0.3">
      <c r="A1" s="3" t="s">
        <v>0</v>
      </c>
    </row>
    <row r="2" spans="1:30" x14ac:dyDescent="0.3">
      <c r="A2" s="3" t="s">
        <v>1</v>
      </c>
      <c r="C2">
        <v>415</v>
      </c>
      <c r="E2" s="15" t="s">
        <v>2</v>
      </c>
      <c r="F2" s="16"/>
      <c r="G2" t="s">
        <v>3</v>
      </c>
    </row>
    <row r="3" spans="1:30" x14ac:dyDescent="0.3">
      <c r="B3" s="3" t="s">
        <v>4</v>
      </c>
      <c r="C3">
        <v>314</v>
      </c>
      <c r="D3" s="14" t="s">
        <v>5</v>
      </c>
      <c r="E3" s="17"/>
      <c r="F3" s="18">
        <f>(C2-E3)/C2</f>
        <v>1</v>
      </c>
      <c r="H3">
        <f>(C2-G3)/C2</f>
        <v>1</v>
      </c>
      <c r="U3" t="s">
        <v>25</v>
      </c>
      <c r="V3" t="s">
        <v>26</v>
      </c>
    </row>
    <row r="4" spans="1:30" ht="15" customHeight="1" thickBot="1" x14ac:dyDescent="0.35">
      <c r="B4" s="3" t="s">
        <v>6</v>
      </c>
      <c r="C4">
        <v>14</v>
      </c>
      <c r="D4" t="s">
        <v>5</v>
      </c>
      <c r="K4" t="s">
        <v>25</v>
      </c>
      <c r="U4" t="s">
        <v>26</v>
      </c>
      <c r="V4" t="s">
        <v>42</v>
      </c>
    </row>
    <row r="5" spans="1:30" s="27" customFormat="1" ht="15" customHeight="1" thickBot="1" x14ac:dyDescent="0.35">
      <c r="A5" s="23"/>
      <c r="B5" s="24" t="s">
        <v>7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3">
      <c r="B6" s="13" t="s">
        <v>8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3">
      <c r="B7" s="11" t="s">
        <v>9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customHeight="1" thickBot="1" x14ac:dyDescent="0.35">
      <c r="A8" s="28"/>
      <c r="B8" s="29" t="s">
        <v>10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3">
      <c r="A9" s="12" t="s">
        <v>11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3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customHeight="1" thickBot="1" x14ac:dyDescent="0.35">
      <c r="A11" s="33"/>
      <c r="B11" s="28" t="s">
        <v>14</v>
      </c>
      <c r="C11" s="30">
        <v>334</v>
      </c>
      <c r="D11" s="30">
        <v>334</v>
      </c>
      <c r="E11" s="30">
        <v>338</v>
      </c>
      <c r="F11" s="30">
        <v>343</v>
      </c>
      <c r="G11" s="30" t="s">
        <v>47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3">
      <c r="A12" s="12" t="s">
        <v>15</v>
      </c>
      <c r="B12" s="3" t="s">
        <v>16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3">
      <c r="A13" s="12"/>
      <c r="B13" s="3" t="s">
        <v>17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3">
      <c r="A14" s="12"/>
      <c r="B14" s="3" t="s">
        <v>18</v>
      </c>
      <c r="C14" s="19">
        <v>25</v>
      </c>
      <c r="D14" s="19">
        <v>25</v>
      </c>
      <c r="E14" s="19">
        <v>35</v>
      </c>
      <c r="F14" s="19">
        <v>35</v>
      </c>
      <c r="G14" s="19" t="s">
        <v>47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customHeight="1" thickBot="1" x14ac:dyDescent="0.35">
      <c r="A15" s="33"/>
      <c r="B15" s="28" t="s">
        <v>19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3">
      <c r="B16" s="13" t="s">
        <v>20</v>
      </c>
      <c r="C16" s="21">
        <f t="shared" ref="C16:AD16" si="0">-C6*COS(RADIANS(C10-2.83))*C13/1000</f>
        <v>-5.6260680394816323</v>
      </c>
      <c r="D16" s="21">
        <f t="shared" si="0"/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 t="shared" si="0"/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3">
      <c r="B17" s="3" t="s">
        <v>21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3">
      <c r="K18" t="s">
        <v>48</v>
      </c>
      <c r="U18" t="s">
        <v>49</v>
      </c>
    </row>
    <row r="19" spans="2:24" x14ac:dyDescent="0.3">
      <c r="U19" t="s">
        <v>50</v>
      </c>
      <c r="V19" t="s">
        <v>51</v>
      </c>
    </row>
    <row r="20" spans="2:24" x14ac:dyDescent="0.3">
      <c r="F20" t="s">
        <v>52</v>
      </c>
      <c r="V20" t="s">
        <v>53</v>
      </c>
    </row>
    <row r="21" spans="2:24" x14ac:dyDescent="0.3">
      <c r="B21" s="3" t="s">
        <v>22</v>
      </c>
      <c r="C21" s="3" t="s">
        <v>21</v>
      </c>
      <c r="F21">
        <f>AVERAGE(C8:M8)</f>
        <v>616.5454545454545</v>
      </c>
      <c r="V21" t="s">
        <v>54</v>
      </c>
    </row>
  </sheetData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1"/>
  <sheetViews>
    <sheetView workbookViewId="0">
      <selection activeCell="K8" sqref="K8"/>
    </sheetView>
  </sheetViews>
  <sheetFormatPr defaultRowHeight="14.4" x14ac:dyDescent="0.3"/>
  <cols>
    <col min="1" max="1" width="9.109375" customWidth="1"/>
    <col min="2" max="2" width="25.109375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3.44140625" customWidth="1"/>
    <col min="10" max="10" width="14" customWidth="1"/>
  </cols>
  <sheetData>
    <row r="1" spans="1:24" x14ac:dyDescent="0.3">
      <c r="A1" s="3" t="s">
        <v>0</v>
      </c>
    </row>
    <row r="2" spans="1:24" x14ac:dyDescent="0.3">
      <c r="A2" s="3" t="s">
        <v>1</v>
      </c>
    </row>
    <row r="3" spans="1:24" x14ac:dyDescent="0.3">
      <c r="B3" s="3" t="s">
        <v>4</v>
      </c>
      <c r="D3" s="14" t="s">
        <v>5</v>
      </c>
    </row>
    <row r="4" spans="1:24" x14ac:dyDescent="0.3">
      <c r="B4" s="3" t="s">
        <v>6</v>
      </c>
      <c r="D4" t="s">
        <v>5</v>
      </c>
    </row>
    <row r="5" spans="1:24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3">
      <c r="B6" s="13" t="s">
        <v>8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3">
      <c r="B7" s="11" t="s">
        <v>9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" thickBot="1" x14ac:dyDescent="0.35">
      <c r="B8" s="29" t="s">
        <v>10</v>
      </c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3">
      <c r="B10" s="3" t="s">
        <v>13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" thickBot="1" x14ac:dyDescent="0.35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3">
      <c r="B13" s="3" t="s">
        <v>17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</row>
    <row r="14" spans="1:24" x14ac:dyDescent="0.3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thickBot="1" x14ac:dyDescent="0.35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B16" s="13" t="s">
        <v>20</v>
      </c>
      <c r="C16" s="36">
        <f t="shared" ref="C16:X16" si="0">-C6*COS(RADIANS(C10-2.83))*C13/1000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3">
      <c r="B17" s="3" t="s">
        <v>21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</row>
    <row r="21" spans="2:24" x14ac:dyDescent="0.3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ExtTest40mm_1</vt:lpstr>
      <vt:lpstr>ExtTest40mm_2</vt:lpstr>
      <vt:lpstr>ExtTest20mm_1</vt:lpstr>
      <vt:lpstr>ExtTest20mm_2</vt:lpstr>
      <vt:lpstr>FlxTest20mm_42cm</vt:lpstr>
      <vt:lpstr>FlxTest20mm_39cm</vt:lpstr>
      <vt:lpstr>FlxTest20mm_39cm (2)</vt:lpstr>
      <vt:lpstr>FlxTest20mm_42cm (2)</vt:lpstr>
      <vt:lpstr>FlxTest20mm_42cm (3)</vt:lpstr>
      <vt:lpstr>FlxTest20mm_51cm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2026-10-05T10:17:26Z</dcterms:modified>
</cp:coreProperties>
</file>