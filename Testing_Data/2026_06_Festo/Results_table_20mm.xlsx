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89D541CE-E7A5-4DC6-B614-B6F65C853A9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1cm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1" l="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<sst xmlns="http://schemas.openxmlformats.org/spreadsheetml/2006/main" count="297" uniqueCount="60">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</sst>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43.460736823868544</c:v>
                </c:pt>
                <c:pt idx="1">
                  <c:v>44.185666386660522</c:v>
                </c:pt>
                <c:pt idx="2">
                  <c:v>41.376763734939175</c:v>
                </c:pt>
                <c:pt idx="3">
                  <c:v>43.865492956682836</c:v>
                </c:pt>
                <c:pt idx="4">
                  <c:v>29.094426649018608</c:v>
                </c:pt>
                <c:pt idx="5">
                  <c:v>24.781100465532006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FlxTest20mm_51cm!$C$7:$X$7</c:f>
              <c:numCache>
                <c:formatCode>General</c:formatCode>
                <c:ptCount val="22"/>
              </c:numCache>
            </c:numRef>
          </c:xVal>
          <c:yVal>
            <c:numRef>
              <c:f>FlxTest20mm_51cm!$C$16:$X$16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1D-4E97-A3D3-CC32CBB65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15</v>
      </c>
      <c r="B12" s="7" t="s">
        <v>16</v>
      </c>
    </row>
    <row r="13" spans="1:17" x14ac:dyDescent="0.3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19</v>
      </c>
    </row>
    <row r="16" spans="1:17" x14ac:dyDescent="0.3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28</v>
      </c>
    </row>
    <row r="18" spans="2:15" x14ac:dyDescent="0.3">
      <c r="O18" t="s">
        <v>29</v>
      </c>
    </row>
    <row r="19" spans="2:15" x14ac:dyDescent="0.3">
      <c r="O19" t="s">
        <v>30</v>
      </c>
    </row>
    <row r="20" spans="2:15" x14ac:dyDescent="0.3">
      <c r="B20" s="3" t="s">
        <v>22</v>
      </c>
      <c r="C20" s="3" t="s">
        <v>21</v>
      </c>
    </row>
    <row r="21" spans="2:15" x14ac:dyDescent="0.3">
      <c r="C21">
        <v>6.1297215268519301</v>
      </c>
      <c r="K21" t="s">
        <v>31</v>
      </c>
    </row>
    <row r="22" spans="2:15" x14ac:dyDescent="0.3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31</v>
      </c>
    </row>
    <row r="26" spans="2:15" x14ac:dyDescent="0.3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</row>
    <row r="4" spans="1:17" x14ac:dyDescent="0.3">
      <c r="B4" s="3" t="s">
        <v>24</v>
      </c>
      <c r="C4">
        <v>90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84.117999999999995</v>
      </c>
      <c r="D6">
        <v>124</v>
      </c>
    </row>
    <row r="7" spans="1:17" x14ac:dyDescent="0.3">
      <c r="B7" s="6" t="s">
        <v>9</v>
      </c>
      <c r="C7">
        <v>6</v>
      </c>
      <c r="D7">
        <v>-16</v>
      </c>
    </row>
    <row r="8" spans="1:17" x14ac:dyDescent="0.3">
      <c r="B8" s="4" t="s">
        <v>35</v>
      </c>
      <c r="C8">
        <v>604</v>
      </c>
      <c r="D8">
        <v>530</v>
      </c>
    </row>
    <row r="9" spans="1:17" s="1" customFormat="1" x14ac:dyDescent="0.3">
      <c r="A9" s="11" t="s">
        <v>11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14</v>
      </c>
      <c r="C11">
        <v>399</v>
      </c>
    </row>
    <row r="12" spans="1:17" x14ac:dyDescent="0.3">
      <c r="A12" s="12"/>
      <c r="B12" s="8" t="s">
        <v>36</v>
      </c>
      <c r="C12">
        <f>($C$2-C11)/$C$2</f>
        <v>0.28366247755834828</v>
      </c>
    </row>
    <row r="13" spans="1:17" s="1" customFormat="1" x14ac:dyDescent="0.3">
      <c r="A13" s="11" t="s">
        <v>15</v>
      </c>
      <c r="B13" s="7" t="s">
        <v>16</v>
      </c>
    </row>
    <row r="14" spans="1:17" x14ac:dyDescent="0.3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18</v>
      </c>
      <c r="C15">
        <v>65</v>
      </c>
    </row>
    <row r="16" spans="1:17" s="2" customFormat="1" x14ac:dyDescent="0.3">
      <c r="A16" s="13"/>
      <c r="B16" s="9" t="s">
        <v>19</v>
      </c>
    </row>
    <row r="17" spans="2:17" x14ac:dyDescent="0.3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37</v>
      </c>
      <c r="C18">
        <v>30.556999999999999</v>
      </c>
      <c r="D18">
        <v>48</v>
      </c>
    </row>
    <row r="19" spans="2:17" x14ac:dyDescent="0.3">
      <c r="D19" t="s">
        <v>38</v>
      </c>
    </row>
    <row r="21" spans="2:17" x14ac:dyDescent="0.3">
      <c r="C21" t="s">
        <v>31</v>
      </c>
      <c r="I21" s="3" t="s">
        <v>22</v>
      </c>
      <c r="J21" s="3" t="s">
        <v>21</v>
      </c>
    </row>
    <row r="22" spans="2:17" x14ac:dyDescent="0.3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31</v>
      </c>
    </row>
    <row r="26" spans="2:17" x14ac:dyDescent="0.3">
      <c r="C26" t="s">
        <v>32</v>
      </c>
      <c r="D26" t="s">
        <v>33</v>
      </c>
      <c r="E26" t="s">
        <v>34</v>
      </c>
      <c r="G26" t="s">
        <v>40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G21" sqref="G21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3">
      <c r="A2" s="3" t="s">
        <v>1</v>
      </c>
    </row>
    <row r="3" spans="1:24" x14ac:dyDescent="0.3">
      <c r="B3" s="3" t="s">
        <v>4</v>
      </c>
      <c r="E3" s="14" t="s">
        <v>5</v>
      </c>
      <c r="H3" t="s">
        <v>57</v>
      </c>
    </row>
    <row r="4" spans="1:24" ht="15" thickBot="1" x14ac:dyDescent="0.35">
      <c r="B4" s="3" t="s">
        <v>6</v>
      </c>
      <c r="E4" s="39" t="s">
        <v>5</v>
      </c>
    </row>
    <row r="5" spans="1:24" ht="15" thickBot="1" x14ac:dyDescent="0.3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tabSelected="1" workbookViewId="0">
      <selection activeCell="H18" sqref="H18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3">
      <c r="A2" s="3" t="s">
        <v>1</v>
      </c>
    </row>
    <row r="3" spans="1:24" x14ac:dyDescent="0.3">
      <c r="B3" s="3" t="s">
        <v>4</v>
      </c>
      <c r="E3" s="14" t="s">
        <v>5</v>
      </c>
      <c r="H3" t="s">
        <v>57</v>
      </c>
    </row>
    <row r="4" spans="1:24" ht="15" thickBot="1" x14ac:dyDescent="0.35">
      <c r="B4" s="3" t="s">
        <v>6</v>
      </c>
      <c r="E4" s="39" t="s">
        <v>5</v>
      </c>
    </row>
    <row r="5" spans="1:24" ht="15" thickBot="1" x14ac:dyDescent="0.3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>
        <v>250.9</v>
      </c>
      <c r="D13" s="37">
        <v>250.9</v>
      </c>
      <c r="E13" s="37">
        <v>250.9</v>
      </c>
      <c r="F13" s="37">
        <v>250.9</v>
      </c>
      <c r="G13" s="37">
        <v>250.9</v>
      </c>
      <c r="H13" s="37">
        <v>250.9</v>
      </c>
      <c r="I13" s="37">
        <v>250.9</v>
      </c>
      <c r="J13" s="37">
        <v>250.9</v>
      </c>
      <c r="K13" s="37">
        <v>250.9</v>
      </c>
      <c r="L13" s="37">
        <v>250.9</v>
      </c>
      <c r="M13" s="37">
        <v>250.9</v>
      </c>
      <c r="N13" s="37">
        <v>250.9</v>
      </c>
      <c r="O13" s="37">
        <v>250.9</v>
      </c>
      <c r="P13" s="37">
        <v>250.9</v>
      </c>
      <c r="Q13" s="37">
        <v>250.9</v>
      </c>
      <c r="R13" s="37">
        <v>250.9</v>
      </c>
      <c r="S13" s="37">
        <v>250.9</v>
      </c>
      <c r="T13" s="37">
        <v>250.9</v>
      </c>
      <c r="U13" s="37">
        <v>250.9</v>
      </c>
      <c r="V13" s="37">
        <v>250.9</v>
      </c>
      <c r="W13" s="37">
        <v>250.9</v>
      </c>
      <c r="X13" s="37">
        <v>250.9</v>
      </c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t="s">
        <v>58</v>
      </c>
      <c r="C16" s="36">
        <f>C6*COS(RADIANS(C10-12))*C13/1000</f>
        <v>43.460736823868544</v>
      </c>
      <c r="D16" s="36">
        <f t="shared" ref="D16:X16" si="0">D6*COS(RADIANS(D10-12))*D13/1000</f>
        <v>44.185666386660522</v>
      </c>
      <c r="E16" s="36">
        <f t="shared" si="0"/>
        <v>41.376763734939175</v>
      </c>
      <c r="F16" s="36">
        <f t="shared" si="0"/>
        <v>43.865492956682836</v>
      </c>
      <c r="G16" s="36">
        <f t="shared" si="0"/>
        <v>29.094426649018608</v>
      </c>
      <c r="H16" s="36">
        <f t="shared" si="0"/>
        <v>24.781100465532006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3">
      <c r="B21" s="3" t="s">
        <v>22</v>
      </c>
      <c r="C21" s="3" t="s">
        <v>21</v>
      </c>
    </row>
    <row r="28" spans="2:24" x14ac:dyDescent="0.3">
      <c r="F28" t="s">
        <v>59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423</v>
      </c>
    </row>
    <row r="3" spans="1:21" x14ac:dyDescent="0.3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3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3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3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3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3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43</v>
      </c>
    </row>
    <row r="19" spans="2:19" x14ac:dyDescent="0.3">
      <c r="M19" t="s">
        <v>44</v>
      </c>
    </row>
    <row r="20" spans="2:19" x14ac:dyDescent="0.3">
      <c r="R20" t="s">
        <v>45</v>
      </c>
    </row>
    <row r="21" spans="2:19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3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3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3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21</v>
      </c>
    </row>
    <row r="21" spans="2:3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3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3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3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21</v>
      </c>
      <c r="G17" t="s">
        <v>46</v>
      </c>
    </row>
    <row r="21" spans="2:7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3">
      <c r="B4" s="3" t="s">
        <v>6</v>
      </c>
      <c r="C4">
        <v>15</v>
      </c>
      <c r="D4" t="s">
        <v>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3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3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3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0</v>
      </c>
    </row>
    <row r="2" spans="1:30" x14ac:dyDescent="0.3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3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5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5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5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5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5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48</v>
      </c>
      <c r="U18" t="s">
        <v>49</v>
      </c>
    </row>
    <row r="19" spans="2:24" x14ac:dyDescent="0.3">
      <c r="U19" t="s">
        <v>50</v>
      </c>
      <c r="V19" t="s">
        <v>51</v>
      </c>
    </row>
    <row r="20" spans="2:24" x14ac:dyDescent="0.3">
      <c r="F20" t="s">
        <v>52</v>
      </c>
      <c r="V20" t="s">
        <v>53</v>
      </c>
    </row>
    <row r="21" spans="2:24" x14ac:dyDescent="0.3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1"/>
  <sheetViews>
    <sheetView workbookViewId="0">
      <selection activeCell="K8" sqref="K8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0</v>
      </c>
    </row>
    <row r="2" spans="1:24" x14ac:dyDescent="0.3">
      <c r="A2" s="3" t="s">
        <v>1</v>
      </c>
    </row>
    <row r="3" spans="1:24" x14ac:dyDescent="0.3">
      <c r="B3" s="3" t="s">
        <v>4</v>
      </c>
      <c r="D3" s="14" t="s">
        <v>5</v>
      </c>
    </row>
    <row r="4" spans="1:24" x14ac:dyDescent="0.3">
      <c r="B4" s="3" t="s">
        <v>6</v>
      </c>
      <c r="D4" t="s">
        <v>5</v>
      </c>
    </row>
    <row r="5" spans="1:24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s="13" t="s">
        <v>20</v>
      </c>
      <c r="C16" s="36">
        <f t="shared" ref="C16:X16" si="0">-C6*COS(RADIANS(C10-2.83))*C13/1000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FlxTest20mm_51cm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2026-10-22T00:03:56Z</dcterms:modified>
</cp:coreProperties>
</file>