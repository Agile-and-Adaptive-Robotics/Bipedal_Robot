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6E95A615-D268-4F7A-84FF-694021F1ADE7}" xr6:coauthVersionLast="47" xr6:coauthVersionMax="47" xr10:uidLastSave="{00000000-0000-0000-0000-000000000000}"/>
  <bookViews>
    <workbookView xWindow="-48" yWindow="-48" windowWidth="23136" windowHeight="12336" activeTab="2" xr2:uid="{00000000-000D-0000-FFFF-FFFF00000000}"/>
  </bookViews>
  <sheets>
    <sheet name="ExtTest40mm_1" sheetId="1" r:id="rId1"/>
    <sheet name="ExtTest40mm_2" sheetId="2" r:id="rId2"/>
    <sheet name="ExtTest20mm_1" sheetId="3" r:id="rId3"/>
    <sheet name="FlxTest20mm_42cm" sheetId="4" r:id="rId4"/>
    <sheet name="FlxTest20mm_39cm" sheetId="5" r:id="rId5"/>
    <sheet name="FlxTest20mm_39cm (2)" sheetId="6" r:id="rId6"/>
    <sheet name="FlxTest20mm_42cm (2)" sheetId="7" r:id="rId7"/>
    <sheet name="FlxTest20mm_42cm (3)" sheetId="8" r:id="rId8"/>
    <sheet name="FlxTest20mm_51c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" l="1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C16" i="3"/>
  <c r="C17" i="2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<sst xmlns="http://schemas.openxmlformats.org/spreadsheetml/2006/main" count="266" uniqueCount="59">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</sst>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Fill="1" applyBorder="1"/>
    <xf numFmtId="0" fontId="0" fillId="0" borderId="9" xfId="0" applyFill="1" applyBorder="1"/>
    <xf numFmtId="0" fontId="0" fillId="0" borderId="1" xfId="0" applyFill="1" applyBorder="1"/>
    <xf numFmtId="0" fontId="0" fillId="0" borderId="19" xfId="0" applyFill="1" applyBorder="1"/>
    <xf numFmtId="0" fontId="0" fillId="0" borderId="0" xfId="0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37-4FC1-8A2D-AAA215DD1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FlxTest20mm_51cm!$C$7:$X$7</c:f>
              <c:numCache>
                <c:formatCode>General</c:formatCode>
                <c:ptCount val="22"/>
              </c:numCache>
            </c:numRef>
          </c:xVal>
          <c:yVal>
            <c:numRef>
              <c:f>FlxTest20mm_51cm!$C$16:$X$16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1D-4E97-A3D3-CC32CBB65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23</v>
      </c>
    </row>
    <row r="2" spans="1:17" x14ac:dyDescent="0.3">
      <c r="A2" s="3" t="s">
        <v>1</v>
      </c>
      <c r="C2">
        <v>557</v>
      </c>
    </row>
    <row r="3" spans="1:17" x14ac:dyDescent="0.3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3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3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3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3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3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3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3">
      <c r="A12" s="11" t="s">
        <v>15</v>
      </c>
      <c r="B12" s="7" t="s">
        <v>16</v>
      </c>
    </row>
    <row r="13" spans="1:17" x14ac:dyDescent="0.3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3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3">
      <c r="A15" s="13"/>
      <c r="B15" s="9" t="s">
        <v>19</v>
      </c>
    </row>
    <row r="16" spans="1:17" x14ac:dyDescent="0.3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3">
      <c r="J17" t="s">
        <v>28</v>
      </c>
    </row>
    <row r="18" spans="2:15" x14ac:dyDescent="0.3">
      <c r="O18" t="s">
        <v>29</v>
      </c>
    </row>
    <row r="19" spans="2:15" x14ac:dyDescent="0.3">
      <c r="O19" t="s">
        <v>30</v>
      </c>
    </row>
    <row r="20" spans="2:15" x14ac:dyDescent="0.3">
      <c r="B20" s="3" t="s">
        <v>22</v>
      </c>
      <c r="C20" s="3" t="s">
        <v>21</v>
      </c>
    </row>
    <row r="21" spans="2:15" x14ac:dyDescent="0.3">
      <c r="C21">
        <v>6.1297215268519301</v>
      </c>
      <c r="K21" t="s">
        <v>31</v>
      </c>
    </row>
    <row r="22" spans="2:15" x14ac:dyDescent="0.3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3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3">
      <c r="C24">
        <v>0.39396830053809201</v>
      </c>
    </row>
    <row r="25" spans="2:15" x14ac:dyDescent="0.3">
      <c r="C25">
        <v>0.87997523971335201</v>
      </c>
      <c r="K25" t="s">
        <v>31</v>
      </c>
    </row>
    <row r="26" spans="2:15" x14ac:dyDescent="0.3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3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3">
      <c r="C28">
        <v>5.7663175704745298</v>
      </c>
    </row>
    <row r="29" spans="2:15" x14ac:dyDescent="0.3">
      <c r="C29">
        <v>0.99793195771798704</v>
      </c>
    </row>
    <row r="30" spans="2:15" x14ac:dyDescent="0.3">
      <c r="C30">
        <v>1.17473937755851</v>
      </c>
    </row>
    <row r="31" spans="2:15" x14ac:dyDescent="0.3">
      <c r="C31">
        <v>5.6669972560913404</v>
      </c>
    </row>
    <row r="32" spans="2:15" x14ac:dyDescent="0.3">
      <c r="C32">
        <v>3.0532323371378101</v>
      </c>
    </row>
    <row r="33" spans="3:3" x14ac:dyDescent="0.3">
      <c r="C33">
        <v>9.8822570388584001</v>
      </c>
    </row>
    <row r="34" spans="3:3" x14ac:dyDescent="0.3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23</v>
      </c>
    </row>
    <row r="2" spans="1:17" x14ac:dyDescent="0.3">
      <c r="A2" s="3" t="s">
        <v>1</v>
      </c>
      <c r="C2">
        <v>557</v>
      </c>
    </row>
    <row r="3" spans="1:17" x14ac:dyDescent="0.3">
      <c r="B3" s="3" t="s">
        <v>4</v>
      </c>
      <c r="C3">
        <f>C2-C2*0.17</f>
        <v>462.31</v>
      </c>
    </row>
    <row r="4" spans="1:17" x14ac:dyDescent="0.3">
      <c r="B4" s="3" t="s">
        <v>24</v>
      </c>
      <c r="C4">
        <v>90</v>
      </c>
    </row>
    <row r="5" spans="1:17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8</v>
      </c>
      <c r="C6">
        <v>84.117999999999995</v>
      </c>
      <c r="D6">
        <v>124</v>
      </c>
    </row>
    <row r="7" spans="1:17" x14ac:dyDescent="0.3">
      <c r="B7" s="6" t="s">
        <v>9</v>
      </c>
      <c r="C7">
        <v>6</v>
      </c>
      <c r="D7">
        <v>-16</v>
      </c>
    </row>
    <row r="8" spans="1:17" x14ac:dyDescent="0.3">
      <c r="B8" s="4" t="s">
        <v>35</v>
      </c>
      <c r="C8">
        <v>604</v>
      </c>
      <c r="D8">
        <v>530</v>
      </c>
    </row>
    <row r="9" spans="1:17" s="1" customFormat="1" x14ac:dyDescent="0.3">
      <c r="A9" s="11" t="s">
        <v>11</v>
      </c>
      <c r="B9" s="7" t="s">
        <v>12</v>
      </c>
      <c r="C9" s="1">
        <v>16.5</v>
      </c>
    </row>
    <row r="10" spans="1:17" x14ac:dyDescent="0.3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3">
      <c r="A11" s="12"/>
      <c r="B11" s="8" t="s">
        <v>14</v>
      </c>
      <c r="C11">
        <v>399</v>
      </c>
    </row>
    <row r="12" spans="1:17" x14ac:dyDescent="0.3">
      <c r="A12" s="12"/>
      <c r="B12" s="8" t="s">
        <v>36</v>
      </c>
      <c r="C12">
        <f>($C$2-C11)/$C$2</f>
        <v>0.28366247755834828</v>
      </c>
    </row>
    <row r="13" spans="1:17" s="1" customFormat="1" x14ac:dyDescent="0.3">
      <c r="A13" s="11" t="s">
        <v>15</v>
      </c>
      <c r="B13" s="7" t="s">
        <v>16</v>
      </c>
    </row>
    <row r="14" spans="1:17" x14ac:dyDescent="0.3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3">
      <c r="A15" s="12"/>
      <c r="B15" s="8" t="s">
        <v>18</v>
      </c>
      <c r="C15">
        <v>65</v>
      </c>
    </row>
    <row r="16" spans="1:17" s="2" customFormat="1" x14ac:dyDescent="0.3">
      <c r="A16" s="13"/>
      <c r="B16" s="9" t="s">
        <v>19</v>
      </c>
    </row>
    <row r="17" spans="2:17" x14ac:dyDescent="0.3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3">
      <c r="B18" s="4" t="s">
        <v>37</v>
      </c>
      <c r="C18">
        <v>30.556999999999999</v>
      </c>
      <c r="D18">
        <v>48</v>
      </c>
    </row>
    <row r="19" spans="2:17" x14ac:dyDescent="0.3">
      <c r="D19" t="s">
        <v>38</v>
      </c>
    </row>
    <row r="21" spans="2:17" x14ac:dyDescent="0.3">
      <c r="C21" t="s">
        <v>31</v>
      </c>
      <c r="I21" s="3" t="s">
        <v>22</v>
      </c>
      <c r="J21" s="3" t="s">
        <v>21</v>
      </c>
    </row>
    <row r="22" spans="2:17" x14ac:dyDescent="0.3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3">
      <c r="C23">
        <v>2.018E-2</v>
      </c>
      <c r="D23">
        <v>-0.11126999999999999</v>
      </c>
      <c r="E23">
        <v>0</v>
      </c>
    </row>
    <row r="25" spans="2:17" x14ac:dyDescent="0.3">
      <c r="C25" t="s">
        <v>31</v>
      </c>
    </row>
    <row r="26" spans="2:17" x14ac:dyDescent="0.3">
      <c r="C26" t="s">
        <v>32</v>
      </c>
      <c r="D26" t="s">
        <v>33</v>
      </c>
      <c r="E26" t="s">
        <v>34</v>
      </c>
      <c r="G26" t="s">
        <v>40</v>
      </c>
    </row>
    <row r="27" spans="2:17" x14ac:dyDescent="0.3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1"/>
  <sheetViews>
    <sheetView tabSelected="1" workbookViewId="0">
      <selection activeCell="G21" sqref="G21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3">
      <c r="A2" s="3" t="s">
        <v>1</v>
      </c>
    </row>
    <row r="3" spans="1:24" x14ac:dyDescent="0.3">
      <c r="B3" s="3" t="s">
        <v>4</v>
      </c>
      <c r="E3" s="14" t="s">
        <v>5</v>
      </c>
      <c r="H3" t="s">
        <v>57</v>
      </c>
    </row>
    <row r="4" spans="1:24" ht="15" thickBot="1" x14ac:dyDescent="0.35">
      <c r="B4" s="3" t="s">
        <v>6</v>
      </c>
      <c r="E4" s="40" t="s">
        <v>5</v>
      </c>
    </row>
    <row r="5" spans="1:24" ht="15" thickBot="1" x14ac:dyDescent="0.35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s="39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423</v>
      </c>
    </row>
    <row r="3" spans="1:21" x14ac:dyDescent="0.3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3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3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3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3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3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3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3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3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3">
      <c r="J18" t="s">
        <v>43</v>
      </c>
    </row>
    <row r="19" spans="2:19" x14ac:dyDescent="0.3">
      <c r="M19" t="s">
        <v>44</v>
      </c>
    </row>
    <row r="20" spans="2:19" x14ac:dyDescent="0.3">
      <c r="R20" t="s">
        <v>45</v>
      </c>
    </row>
    <row r="21" spans="2:19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3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3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3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3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3">
      <c r="B17" s="3" t="s">
        <v>21</v>
      </c>
    </row>
    <row r="21" spans="2:3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3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3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3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3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3">
      <c r="B17" s="3" t="s">
        <v>21</v>
      </c>
      <c r="G17" t="s">
        <v>46</v>
      </c>
    </row>
    <row r="21" spans="2:7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3">
      <c r="B4" s="3" t="s">
        <v>6</v>
      </c>
      <c r="C4">
        <v>15</v>
      </c>
      <c r="D4" t="s">
        <v>5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3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3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3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3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0" x14ac:dyDescent="0.3">
      <c r="A1" s="3" t="s">
        <v>0</v>
      </c>
    </row>
    <row r="2" spans="1:30" x14ac:dyDescent="0.3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3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5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5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3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3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5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3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3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5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3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3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3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5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3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3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3">
      <c r="K18" t="s">
        <v>48</v>
      </c>
      <c r="U18" t="s">
        <v>49</v>
      </c>
    </row>
    <row r="19" spans="2:24" x14ac:dyDescent="0.3">
      <c r="U19" t="s">
        <v>50</v>
      </c>
      <c r="V19" t="s">
        <v>51</v>
      </c>
    </row>
    <row r="20" spans="2:24" x14ac:dyDescent="0.3">
      <c r="F20" t="s">
        <v>52</v>
      </c>
      <c r="V20" t="s">
        <v>53</v>
      </c>
    </row>
    <row r="21" spans="2:24" x14ac:dyDescent="0.3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1"/>
  <sheetViews>
    <sheetView workbookViewId="0">
      <selection activeCell="K8" sqref="K8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0</v>
      </c>
    </row>
    <row r="2" spans="1:24" x14ac:dyDescent="0.3">
      <c r="A2" s="3" t="s">
        <v>1</v>
      </c>
    </row>
    <row r="3" spans="1:24" x14ac:dyDescent="0.3">
      <c r="B3" s="3" t="s">
        <v>4</v>
      </c>
      <c r="D3" s="14" t="s">
        <v>5</v>
      </c>
    </row>
    <row r="4" spans="1:24" x14ac:dyDescent="0.3">
      <c r="B4" s="3" t="s">
        <v>6</v>
      </c>
      <c r="D4" t="s">
        <v>5</v>
      </c>
    </row>
    <row r="5" spans="1:24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s="13" t="s">
        <v>20</v>
      </c>
      <c r="C16" s="36">
        <f t="shared" ref="C16:X16" si="0">-C6*COS(RADIANS(C10-2.83))*C13/1000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ExtTest40mm_1</vt:lpstr>
      <vt:lpstr>ExtTest40mm_2</vt:lpstr>
      <vt:lpstr>ExtTest20mm_1</vt:lpstr>
      <vt:lpstr>FlxTest20mm_42cm</vt:lpstr>
      <vt:lpstr>FlxTest20mm_39cm</vt:lpstr>
      <vt:lpstr>FlxTest20mm_39cm (2)</vt:lpstr>
      <vt:lpstr>FlxTest20mm_42cm (2)</vt:lpstr>
      <vt:lpstr>FlxTest20mm_42cm (3)</vt:lpstr>
      <vt:lpstr>FlxTest20mm_51cm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2026-10-04T12:00:21Z</dcterms:modified>
</cp:coreProperties>
</file>