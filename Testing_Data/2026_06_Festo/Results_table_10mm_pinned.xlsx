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ze\Documents\GitHub\Bipedal_Robot\Testing_Data\2026_06_Festo\"/>
    </mc:Choice>
  </mc:AlternateContent>
  <xr:revisionPtr revIDLastSave="0" documentId="13_ncr:1_{B8A30B11-BBCA-4BDD-B5B7-9FDA39D18D61}" xr6:coauthVersionLast="47" xr6:coauthVersionMax="47" xr10:uidLastSave="{00000000-0000-0000-0000-000000000000}"/>
  <bookViews>
    <workbookView xWindow="26670" yWindow="-16320" windowWidth="29040" windowHeight="15720" firstSheet="10" activeTab="12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ExtTest10mm_13" sheetId="24" r:id="rId13"/>
    <sheet name="FlxTest10mm_1" sheetId="7" r:id="rId14"/>
    <sheet name="FlxTest10mm_2" sheetId="8" r:id="rId15"/>
    <sheet name="FlxTest10mm_3" sheetId="15" r:id="rId16"/>
    <sheet name="FlxTest10mm_4" sheetId="23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6" i="24" l="1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D3" i="24"/>
  <c r="E3" i="24" s="1"/>
  <c r="D16" i="23"/>
  <c r="E16" i="23"/>
  <c r="F16" i="23"/>
  <c r="G16" i="23"/>
  <c r="H16" i="23"/>
  <c r="I16" i="23"/>
  <c r="J16" i="23"/>
  <c r="K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C16" i="23"/>
  <c r="D3" i="23"/>
  <c r="E3" i="23" s="1"/>
  <c r="D3" i="22"/>
  <c r="E3" i="22" s="1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tc={A0F37F35-3C02-4428-95DF-F39F668FABAB}</author>
    <author>tc={B330029E-0838-474A-A917-D75DCA8B89DE}</author>
    <author>tc={54C76319-676A-40FF-BA34-557807290B63}</author>
    <author>tc={3503805A-53F9-44E7-B5DE-1E572B8A5B05}</author>
    <author>tc={1C8E06FF-9847-46B8-831A-746E2073BD30}</author>
  </authors>
  <commentList>
    <comment ref="C2" authorId="0" shapeId="0" xr:uid="{A0F37F35-3C02-4428-95DF-F39F668F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B330029E-0838-474A-A917-D75DCA8B89D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54C76319-676A-40FF-BA34-557807290B63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503805A-53F9-44E7-B5DE-1E572B8A5B05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1C8E06FF-9847-46B8-831A-746E2073BD30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sharedStrings.xml><?xml version="1.0" encoding="utf-8"?>
<sst xmlns="http://schemas.openxmlformats.org/spreadsheetml/2006/main" count="383" uniqueCount="83">
  <si>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</si>
  <si>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</si>
  <si>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</si>
  <si>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</si>
  <si>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</si>
  <si>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</si>
  <si>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</si>
  <si>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</si>
  <si>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</si>
  <si>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</si>
  <si>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</si>
  <si>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</si>
  <si>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</si>
  <si>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</si>
  <si>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</si>
  <si>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</si>
  <si>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</si>
  <si>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</si>
  <si>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</si>
  <si>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</si>
  <si>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</si>
  <si>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</si>
  <si>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</si>
  <si>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</si>
  <si>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</si>
  <si>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</si>
  <si>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</si>
  <si>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</si>
  <si>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</si>
  <si>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</si>
  <si>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</si>
  <si>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</si>
  <si>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</si>
  <si>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</si>
  <si>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</si>
  <si>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</si>
  <si>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</si>
  <si>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</si>
  <si>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</si>
  <si>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</si>
  <si>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</si>
  <si>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</si>
  <si>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</si>
  <si>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</si>
  <si>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</si>
  <si>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</si>
  <si>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</si>
  <si>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</si>
  <si>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</si>
  <si>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</si>
  <si>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</si>
  <si>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</si>
  <si>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</si>
  <si>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</si>
  <si>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</si>
  <si>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</si>
  <si>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</si>
  <si>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</si>
  <si>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</si>
  <si>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</si>
  <si>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</si>
  <si>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</si>
  <si>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</si>
  <si>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</si>
  <si>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</si>
  <si>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</si>
  <si>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</si>
  <si>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</si>
  <si>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</si>
  <si>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</si>
  <si>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</si>
  <si>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</si>
  <si>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</si>
  <si>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</si>
  <si>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</si>
  <si>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</si>
  <si>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</si>
  <si>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</si>
  <si>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</si>
  <si>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</si>
  <si>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</si>
  <si>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*pretension 9.50N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</si>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</sst>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3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  <xf numFmtId="0" fontId="3" fillId="5" borderId="0" xfId="1" applyFont="1" applyFill="1"/>
    <xf numFmtId="0" fontId="3" fillId="5" borderId="8" xfId="1" applyFont="1" applyFill="1" applyBorder="1"/>
    <xf numFmtId="0" fontId="2" fillId="5" borderId="10" xfId="1" applyFill="1" applyBorder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ExtTest10mm_12!$D$7:$S$7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ExtTest10mm_12!$D$16:$AB$16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ExtTest10mm_12!$D$7:$S$7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ExtTest10mm_12!$D$16:$AB$16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E63-4F26-BE26-45C392EB0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-9.125</c:v>
                </c:pt>
                <c:pt idx="9">
                  <c:v>-21.331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-1.9089163300292105</c:v>
                </c:pt>
                <c:pt idx="1">
                  <c:v>-4.0809375058192954</c:v>
                </c:pt>
                <c:pt idx="2">
                  <c:v>-7.0574220518637798</c:v>
                </c:pt>
                <c:pt idx="3">
                  <c:v>-10.09453321766197</c:v>
                </c:pt>
                <c:pt idx="4">
                  <c:v>-13.401234911810583</c:v>
                </c:pt>
                <c:pt idx="5">
                  <c:v>-14.847761858930939</c:v>
                </c:pt>
                <c:pt idx="6">
                  <c:v>-15.781617917093591</c:v>
                </c:pt>
                <c:pt idx="7">
                  <c:v>-16.386164614410578</c:v>
                </c:pt>
                <c:pt idx="8">
                  <c:v>-16.727950101680829</c:v>
                </c:pt>
                <c:pt idx="9">
                  <c:v>-14.931186025358189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54B586-951D-46F4-A8A5-47D952B66B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A0F37F35-3C02-4428-95DF-F39F668FABAB}">
    <text>Recheck after test</text>
  </threadedComment>
  <threadedComment ref="C3" dT="2026-07-18T06:57:43.54" personId="{10A700E7-E0AC-4B04-B751-E14560120F23}" id="{B330029E-0838-474A-A917-D75DCA8B89DE}">
    <text>Recheck after test</text>
  </threadedComment>
  <threadedComment ref="D3" dT="2026-07-17T08:55:32.82" personId="{10A700E7-E0AC-4B04-B751-E14560120F23}" id="{54C76319-676A-40FF-BA34-557807290B63}">
    <text>Max contracted length normalized by resting length</text>
  </threadedComment>
  <threadedComment ref="E3" dT="2026-07-17T08:54:37.64" personId="{10A700E7-E0AC-4B04-B751-E14560120F23}" id="{3503805A-53F9-44E7-B5DE-1E572B8A5B05}">
    <text>Kmax</text>
  </threadedComment>
  <threadedComment ref="C4" dT="2026-07-18T06:57:17.11" personId="{10A700E7-E0AC-4B04-B751-E14560120F23}" id="{1C8E06FF-9847-46B8-831A-746E2073BD30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7.xml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18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5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5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5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5">
      <c r="C17" t="s">
        <v>20</v>
      </c>
    </row>
    <row r="18" spans="3:24" x14ac:dyDescent="0.35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5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5">
      <c r="C20" t="s">
        <v>45</v>
      </c>
    </row>
    <row r="21" spans="3:24" x14ac:dyDescent="0.35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5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5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5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5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457</v>
      </c>
      <c r="F2" t="s">
        <v>22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380</v>
      </c>
      <c r="D4">
        <f>1-C4/C2</f>
        <v>0.16849015317286653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5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5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486</v>
      </c>
      <c r="F2" t="s">
        <v>21</v>
      </c>
    </row>
    <row r="3" spans="1:36" x14ac:dyDescent="0.35">
      <c r="B3" s="3" t="s">
        <v>14</v>
      </c>
      <c r="C3">
        <f>C2-C2*0.17</f>
        <v>403.38</v>
      </c>
    </row>
    <row r="4" spans="1:36" x14ac:dyDescent="0.35">
      <c r="B4" s="3" t="s">
        <v>17</v>
      </c>
      <c r="C4">
        <v>405</v>
      </c>
      <c r="D4">
        <f>1-398/486</f>
        <v>0.18106995884773658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5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5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29</v>
      </c>
    </row>
    <row r="2" spans="1:36" x14ac:dyDescent="0.35">
      <c r="A2" s="3" t="s">
        <v>5</v>
      </c>
      <c r="C2">
        <v>415</v>
      </c>
      <c r="F2" t="s">
        <v>18</v>
      </c>
    </row>
    <row r="3" spans="1:36" x14ac:dyDescent="0.35">
      <c r="B3" s="3" t="s">
        <v>14</v>
      </c>
      <c r="C3">
        <f>C2-C2*0.17</f>
        <v>344.45</v>
      </c>
      <c r="F3" t="s">
        <v>28</v>
      </c>
    </row>
    <row r="4" spans="1:36" x14ac:dyDescent="0.35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5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5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5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U16" t="s">
        <v>23</v>
      </c>
      <c r="AB16" t="s">
        <v>25</v>
      </c>
    </row>
    <row r="17" spans="17:29" x14ac:dyDescent="0.35">
      <c r="AB17">
        <v>2.2241</v>
      </c>
    </row>
    <row r="18" spans="17:29" x14ac:dyDescent="0.35">
      <c r="AC18" t="s">
        <v>27</v>
      </c>
    </row>
    <row r="24" spans="17:29" x14ac:dyDescent="0.35">
      <c r="Q24" t="s">
        <v>44</v>
      </c>
    </row>
    <row r="25" spans="17:29" x14ac:dyDescent="0.35">
      <c r="Q25" t="s">
        <v>42</v>
      </c>
      <c r="R25">
        <v>630</v>
      </c>
      <c r="S25">
        <v>-1.4999999999999999E-2</v>
      </c>
    </row>
    <row r="26" spans="17:29" x14ac:dyDescent="0.35">
      <c r="Q26" t="s">
        <v>43</v>
      </c>
      <c r="R26">
        <v>-1.4999999999999999E-2</v>
      </c>
      <c r="S26">
        <v>0</v>
      </c>
    </row>
    <row r="27" spans="17:29" x14ac:dyDescent="0.35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17" x14ac:dyDescent="0.35">
      <c r="A1" s="3" t="s">
        <v>38</v>
      </c>
    </row>
    <row r="2" spans="1:17" x14ac:dyDescent="0.35">
      <c r="A2" s="3" t="s">
        <v>5</v>
      </c>
      <c r="C2">
        <v>415</v>
      </c>
      <c r="E2" t="s">
        <v>37</v>
      </c>
    </row>
    <row r="3" spans="1:17" x14ac:dyDescent="0.35">
      <c r="A3" s="3" t="s">
        <v>36</v>
      </c>
      <c r="C3">
        <v>350</v>
      </c>
    </row>
    <row r="4" spans="1:17" x14ac:dyDescent="0.35">
      <c r="A4" s="3" t="s">
        <v>35</v>
      </c>
      <c r="C4" t="s">
        <v>40</v>
      </c>
      <c r="L4" t="s">
        <v>16</v>
      </c>
    </row>
    <row r="5" spans="1:17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5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5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5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5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5">
      <c r="A10" s="11" t="s">
        <v>8</v>
      </c>
      <c r="B10" s="7" t="s">
        <v>9</v>
      </c>
    </row>
    <row r="11" spans="1:17" x14ac:dyDescent="0.35">
      <c r="A11" s="12"/>
      <c r="B11" s="8" t="s">
        <v>33</v>
      </c>
    </row>
    <row r="12" spans="1:17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5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5">
      <c r="A14" s="13"/>
      <c r="B14" s="9" t="s">
        <v>4</v>
      </c>
    </row>
    <row r="15" spans="1:17" x14ac:dyDescent="0.35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5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A2" sqref="A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1" x14ac:dyDescent="0.35">
      <c r="A1" s="3" t="s">
        <v>66</v>
      </c>
    </row>
    <row r="2" spans="1:31" x14ac:dyDescent="0.35">
      <c r="A2" s="3" t="s">
        <v>5</v>
      </c>
      <c r="C2">
        <v>415</v>
      </c>
      <c r="E2" t="s">
        <v>37</v>
      </c>
    </row>
    <row r="3" spans="1:31" x14ac:dyDescent="0.35">
      <c r="A3" s="3" t="s">
        <v>36</v>
      </c>
      <c r="C3">
        <v>350</v>
      </c>
    </row>
    <row r="4" spans="1:31" x14ac:dyDescent="0.35">
      <c r="A4" s="3" t="s">
        <v>35</v>
      </c>
      <c r="C4" t="s">
        <v>40</v>
      </c>
    </row>
    <row r="5" spans="1:31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5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5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5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5">
      <c r="A10" s="11" t="s">
        <v>8</v>
      </c>
      <c r="B10" s="7" t="s">
        <v>9</v>
      </c>
    </row>
    <row r="11" spans="1:31" x14ac:dyDescent="0.35">
      <c r="A11" s="12"/>
      <c r="B11" s="8" t="s">
        <v>33</v>
      </c>
    </row>
    <row r="12" spans="1:31" x14ac:dyDescent="0.35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5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5">
      <c r="A14" s="13"/>
      <c r="B14" s="9" t="s">
        <v>4</v>
      </c>
    </row>
    <row r="15" spans="1:31" x14ac:dyDescent="0.35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6"/>
  <sheetViews>
    <sheetView zoomScale="106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</cols>
  <sheetData>
    <row r="1" spans="1:31" x14ac:dyDescent="0.35">
      <c r="A1" s="3" t="s">
        <v>65</v>
      </c>
    </row>
    <row r="2" spans="1:31" x14ac:dyDescent="0.35">
      <c r="A2" s="3" t="s">
        <v>5</v>
      </c>
      <c r="C2">
        <v>403</v>
      </c>
      <c r="E2" t="s">
        <v>46</v>
      </c>
    </row>
    <row r="3" spans="1:31" x14ac:dyDescent="0.35">
      <c r="A3" s="3" t="s">
        <v>36</v>
      </c>
      <c r="C3">
        <v>345</v>
      </c>
    </row>
    <row r="4" spans="1:31" x14ac:dyDescent="0.35">
      <c r="A4" s="3" t="s">
        <v>35</v>
      </c>
      <c r="C4">
        <v>0</v>
      </c>
      <c r="H4" t="s">
        <v>49</v>
      </c>
    </row>
    <row r="5" spans="1:31" s="10" customFormat="1" x14ac:dyDescent="0.35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5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5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5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5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5">
      <c r="A11" s="11" t="s">
        <v>8</v>
      </c>
      <c r="B11" s="7" t="s">
        <v>9</v>
      </c>
      <c r="C11" s="24"/>
    </row>
    <row r="12" spans="1:31" x14ac:dyDescent="0.35">
      <c r="A12" s="12"/>
      <c r="B12" s="8" t="s">
        <v>33</v>
      </c>
      <c r="C12" s="23"/>
    </row>
    <row r="13" spans="1:31" x14ac:dyDescent="0.35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5">
      <c r="A15" s="13"/>
      <c r="B15" s="9" t="s">
        <v>4</v>
      </c>
      <c r="C15" s="25"/>
    </row>
    <row r="16" spans="1:31" s="28" customFormat="1" x14ac:dyDescent="0.35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7"/>
  <sheetViews>
    <sheetView zoomScale="78" workbookViewId="0">
      <selection activeCell="A2" sqref="A2"/>
    </sheetView>
  </sheetViews>
  <sheetFormatPr defaultRowHeight="14.5" x14ac:dyDescent="0.35"/>
  <cols>
    <col min="1" max="1" width="8.8164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9.6328125" bestFit="1" customWidth="1"/>
    <col min="9" max="9" width="13.453125" customWidth="1"/>
    <col min="10" max="10" width="14" customWidth="1"/>
    <col min="14" max="14" width="14.90625" bestFit="1" customWidth="1"/>
  </cols>
  <sheetData>
    <row r="1" spans="1:31" x14ac:dyDescent="0.35">
      <c r="A1" s="3" t="s">
        <v>64</v>
      </c>
    </row>
    <row r="2" spans="1:31" x14ac:dyDescent="0.35">
      <c r="A2" s="3" t="s">
        <v>5</v>
      </c>
      <c r="C2">
        <v>408</v>
      </c>
      <c r="E2" t="s">
        <v>46</v>
      </c>
    </row>
    <row r="3" spans="1:31" x14ac:dyDescent="0.35">
      <c r="A3" s="3" t="s">
        <v>36</v>
      </c>
      <c r="C3">
        <v>342</v>
      </c>
    </row>
    <row r="4" spans="1:31" x14ac:dyDescent="0.35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5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5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5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5">
      <c r="N17" s="3" t="s">
        <v>50</v>
      </c>
      <c r="O17" s="3" t="s">
        <v>51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63</v>
      </c>
    </row>
    <row r="2" spans="1:31" x14ac:dyDescent="0.35">
      <c r="A2" s="3" t="s">
        <v>5</v>
      </c>
      <c r="C2">
        <v>400</v>
      </c>
      <c r="E2" t="s">
        <v>46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5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5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5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5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1"/>
  <sheetViews>
    <sheetView zoomScale="78" workbookViewId="0">
      <selection activeCell="A2" sqref="A2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62</v>
      </c>
    </row>
    <row r="2" spans="1:31" x14ac:dyDescent="0.35">
      <c r="A2" s="3" t="s">
        <v>5</v>
      </c>
      <c r="C2">
        <v>400</v>
      </c>
      <c r="E2" t="s">
        <v>58</v>
      </c>
    </row>
    <row r="3" spans="1:31" x14ac:dyDescent="0.35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5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5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5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5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5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L17" t="s">
        <v>55</v>
      </c>
      <c r="N17" s="3" t="s">
        <v>56</v>
      </c>
      <c r="O17" s="3" t="s">
        <v>57</v>
      </c>
    </row>
    <row r="21" spans="2:15" x14ac:dyDescent="0.35">
      <c r="B21" s="21" t="s">
        <v>52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Y45" sqref="Y45"/>
    </sheetView>
  </sheetViews>
  <sheetFormatPr defaultRowHeight="14.5" x14ac:dyDescent="0.35"/>
  <cols>
    <col min="1" max="1" width="8.9062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8" width="12.453125" customWidth="1"/>
    <col min="9" max="9" width="13.453125" customWidth="1"/>
    <col min="10" max="10" width="14" customWidth="1"/>
    <col min="12" max="12" width="12.90625" bestFit="1" customWidth="1"/>
    <col min="14" max="14" width="14.90625" bestFit="1" customWidth="1"/>
  </cols>
  <sheetData>
    <row r="1" spans="1:31" x14ac:dyDescent="0.35">
      <c r="A1" s="3" t="s">
        <v>61</v>
      </c>
    </row>
    <row r="2" spans="1:31" x14ac:dyDescent="0.35">
      <c r="A2" s="3" t="s">
        <v>5</v>
      </c>
      <c r="C2">
        <v>432</v>
      </c>
      <c r="E2" t="s">
        <v>58</v>
      </c>
    </row>
    <row r="3" spans="1:31" x14ac:dyDescent="0.35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5">
      <c r="A4" s="3" t="s">
        <v>35</v>
      </c>
      <c r="C4">
        <v>22</v>
      </c>
      <c r="E4" t="s">
        <v>59</v>
      </c>
      <c r="O4" s="3"/>
    </row>
    <row r="5" spans="1:31" s="10" customFormat="1" x14ac:dyDescent="0.35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5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5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5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5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5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5">
      <c r="A11" s="11" t="s">
        <v>8</v>
      </c>
      <c r="B11" s="17" t="s">
        <v>9</v>
      </c>
      <c r="C11" s="15"/>
    </row>
    <row r="12" spans="1:31" x14ac:dyDescent="0.35">
      <c r="A12" s="12"/>
      <c r="B12" s="18" t="s">
        <v>33</v>
      </c>
      <c r="C12" s="16"/>
    </row>
    <row r="13" spans="1:31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5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5">
      <c r="A15" s="13"/>
      <c r="B15" s="19" t="s">
        <v>4</v>
      </c>
      <c r="C15" s="14"/>
    </row>
    <row r="16" spans="1:31" x14ac:dyDescent="0.35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5">
      <c r="N17" s="3"/>
      <c r="O17" s="3"/>
    </row>
    <row r="21" spans="2:15" x14ac:dyDescent="0.35">
      <c r="B21" s="21" t="s">
        <v>52</v>
      </c>
    </row>
    <row r="27" spans="2:15" x14ac:dyDescent="0.35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Y9" sqref="A1:XFD1048576"/>
    </sheetView>
  </sheetViews>
  <sheetFormatPr defaultRowHeight="14.5" x14ac:dyDescent="0.35"/>
  <cols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61</v>
      </c>
      <c r="B1" s="3"/>
    </row>
    <row r="2" spans="1:37" x14ac:dyDescent="0.35">
      <c r="A2" s="3" t="s">
        <v>71</v>
      </c>
      <c r="B2" s="3"/>
      <c r="C2">
        <v>436</v>
      </c>
      <c r="E2" t="s">
        <v>68</v>
      </c>
    </row>
    <row r="3" spans="1:37" x14ac:dyDescent="0.35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5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30"/>
      <c r="D6">
        <v>1.56</v>
      </c>
      <c r="E6">
        <v>7.27</v>
      </c>
      <c r="F6">
        <v>18.05</v>
      </c>
      <c r="G6">
        <v>22.13</v>
      </c>
      <c r="H6">
        <v>24.334</v>
      </c>
      <c r="I6">
        <v>23.155999999999999</v>
      </c>
      <c r="J6">
        <v>25.13</v>
      </c>
      <c r="K6">
        <v>25.15</v>
      </c>
      <c r="L6">
        <v>26.1</v>
      </c>
      <c r="M6">
        <v>29.18</v>
      </c>
      <c r="N6">
        <v>31.68</v>
      </c>
      <c r="O6">
        <v>32.74</v>
      </c>
      <c r="P6">
        <v>34.68</v>
      </c>
      <c r="Q6">
        <v>38.82</v>
      </c>
      <c r="R6">
        <v>29.24</v>
      </c>
      <c r="S6">
        <v>22.6</v>
      </c>
      <c r="T6">
        <v>20.248000000000001</v>
      </c>
      <c r="U6">
        <v>19.89</v>
      </c>
      <c r="V6">
        <v>18.373999999999999</v>
      </c>
      <c r="W6">
        <v>0.40200000000000002</v>
      </c>
    </row>
    <row r="7" spans="1:37" x14ac:dyDescent="0.35">
      <c r="A7" s="3"/>
      <c r="B7" s="6" t="s">
        <v>2</v>
      </c>
      <c r="C7" s="30"/>
      <c r="D7">
        <v>28.29</v>
      </c>
      <c r="E7">
        <v>18.149999999999999</v>
      </c>
      <c r="F7">
        <v>1.29</v>
      </c>
      <c r="G7">
        <v>-14.86</v>
      </c>
      <c r="H7">
        <v>-25.64</v>
      </c>
      <c r="I7">
        <v>-36.76</v>
      </c>
      <c r="J7">
        <v>-42.87</v>
      </c>
      <c r="K7">
        <v>-49.33</v>
      </c>
      <c r="L7">
        <v>-56.87</v>
      </c>
      <c r="M7">
        <v>-68.36</v>
      </c>
      <c r="N7">
        <v>-77.69</v>
      </c>
      <c r="O7">
        <v>-84.16</v>
      </c>
      <c r="P7">
        <v>-90.1</v>
      </c>
      <c r="Q7">
        <v>-99.233999999999995</v>
      </c>
      <c r="R7">
        <v>-82</v>
      </c>
      <c r="S7">
        <v>-65.48</v>
      </c>
      <c r="T7">
        <v>-47.537999999999997</v>
      </c>
      <c r="U7">
        <v>-26.72</v>
      </c>
      <c r="V7">
        <v>-6.2530000000000001</v>
      </c>
      <c r="W7">
        <v>31.442</v>
      </c>
    </row>
    <row r="8" spans="1:37" x14ac:dyDescent="0.35">
      <c r="A8" s="3"/>
      <c r="B8" s="4" t="s">
        <v>47</v>
      </c>
      <c r="C8" s="30"/>
      <c r="D8">
        <v>622.09299999999996</v>
      </c>
      <c r="E8">
        <v>620.57899999999995</v>
      </c>
      <c r="F8">
        <v>621.33600000000001</v>
      </c>
      <c r="G8">
        <v>621.34</v>
      </c>
      <c r="H8">
        <v>621.33600000000001</v>
      </c>
      <c r="I8">
        <v>620.58000000000004</v>
      </c>
      <c r="J8">
        <v>622.85</v>
      </c>
      <c r="K8">
        <v>622.09299999999996</v>
      </c>
      <c r="L8">
        <v>621.33600000000001</v>
      </c>
      <c r="M8">
        <v>623.04999999999995</v>
      </c>
      <c r="N8">
        <v>623.33600000000001</v>
      </c>
      <c r="O8">
        <v>620.57899999999995</v>
      </c>
      <c r="P8">
        <v>622.85</v>
      </c>
      <c r="Q8">
        <v>621.33600000000001</v>
      </c>
      <c r="R8">
        <v>621.33600000000001</v>
      </c>
      <c r="S8">
        <v>622.09</v>
      </c>
      <c r="T8">
        <v>622.6</v>
      </c>
      <c r="U8">
        <v>622.85</v>
      </c>
      <c r="V8">
        <v>621.33600000000001</v>
      </c>
      <c r="W8">
        <v>620.57899999999995</v>
      </c>
    </row>
    <row r="9" spans="1:37" x14ac:dyDescent="0.35">
      <c r="A9" s="11" t="s">
        <v>7</v>
      </c>
      <c r="B9" s="7" t="s">
        <v>34</v>
      </c>
      <c r="C9" s="31"/>
      <c r="D9" s="1">
        <v>83</v>
      </c>
      <c r="E9" s="1">
        <v>81</v>
      </c>
      <c r="F9" s="1">
        <v>78</v>
      </c>
      <c r="G9" s="1">
        <v>75</v>
      </c>
      <c r="H9" s="1">
        <v>73</v>
      </c>
      <c r="I9" s="1">
        <v>73</v>
      </c>
      <c r="J9" s="1">
        <v>71</v>
      </c>
      <c r="K9" s="1">
        <v>71</v>
      </c>
      <c r="L9" s="1">
        <v>71</v>
      </c>
      <c r="M9" s="1">
        <v>69</v>
      </c>
      <c r="N9" s="1">
        <v>68</v>
      </c>
      <c r="O9" s="1">
        <v>71</v>
      </c>
      <c r="P9" s="1">
        <v>69</v>
      </c>
      <c r="Q9" s="1">
        <v>70</v>
      </c>
      <c r="R9" s="1">
        <v>71</v>
      </c>
      <c r="S9" s="1">
        <v>71</v>
      </c>
      <c r="T9" s="1">
        <v>73.5</v>
      </c>
      <c r="U9" s="1">
        <v>75</v>
      </c>
      <c r="V9" s="1">
        <v>77.5</v>
      </c>
      <c r="W9" s="1">
        <v>84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30"/>
      <c r="D10">
        <v>367</v>
      </c>
      <c r="E10">
        <v>367</v>
      </c>
      <c r="F10">
        <v>382</v>
      </c>
      <c r="G10">
        <v>398</v>
      </c>
      <c r="H10">
        <v>397</v>
      </c>
      <c r="I10">
        <v>403</v>
      </c>
      <c r="J10">
        <v>407</v>
      </c>
      <c r="K10">
        <v>411</v>
      </c>
      <c r="L10">
        <v>416</v>
      </c>
      <c r="M10">
        <v>422</v>
      </c>
      <c r="N10">
        <v>428</v>
      </c>
      <c r="O10">
        <v>428</v>
      </c>
      <c r="P10">
        <v>434</v>
      </c>
      <c r="Q10">
        <v>434</v>
      </c>
      <c r="R10">
        <v>425</v>
      </c>
      <c r="S10">
        <v>420</v>
      </c>
      <c r="T10">
        <v>398</v>
      </c>
      <c r="U10">
        <v>396</v>
      </c>
      <c r="V10">
        <v>386</v>
      </c>
      <c r="W10">
        <v>366</v>
      </c>
    </row>
    <row r="11" spans="1:37" x14ac:dyDescent="0.35">
      <c r="A11" s="11" t="s">
        <v>8</v>
      </c>
      <c r="B11" s="17" t="s">
        <v>9</v>
      </c>
      <c r="C11" s="3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30"/>
    </row>
    <row r="13" spans="1:37" x14ac:dyDescent="0.35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30"/>
      <c r="D14">
        <v>78</v>
      </c>
      <c r="E14">
        <v>61</v>
      </c>
      <c r="F14">
        <v>55</v>
      </c>
      <c r="G14">
        <v>48</v>
      </c>
      <c r="H14">
        <v>38</v>
      </c>
      <c r="I14">
        <v>32</v>
      </c>
      <c r="J14">
        <v>30</v>
      </c>
      <c r="K14">
        <v>30</v>
      </c>
      <c r="L14">
        <v>30</v>
      </c>
      <c r="M14">
        <v>29</v>
      </c>
      <c r="N14">
        <v>28</v>
      </c>
      <c r="O14">
        <v>26</v>
      </c>
      <c r="P14">
        <v>23</v>
      </c>
      <c r="Q14">
        <v>23</v>
      </c>
      <c r="R14">
        <v>24</v>
      </c>
      <c r="S14">
        <v>29</v>
      </c>
      <c r="T14">
        <v>31</v>
      </c>
      <c r="U14">
        <v>35</v>
      </c>
      <c r="V14">
        <v>50</v>
      </c>
      <c r="W14">
        <v>88</v>
      </c>
    </row>
    <row r="15" spans="1:37" x14ac:dyDescent="0.35">
      <c r="A15" s="13"/>
      <c r="B15" s="19" t="s">
        <v>4</v>
      </c>
      <c r="C15" s="3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30">
        <f>C6*SIN(RADIANS(C9+5.15))*C13/1000</f>
        <v>0</v>
      </c>
      <c r="D16" s="16">
        <f t="shared" ref="D16:AE16" si="0">D6*SIN(RADIANS(D9+5.15))*D13/1000</f>
        <v>0.38934455560856757</v>
      </c>
      <c r="E16" s="16">
        <f t="shared" si="0"/>
        <v>1.8112948210918218</v>
      </c>
      <c r="F16" s="16">
        <f>F6*SIN(RADIANS(F9+5.15))*F13/1000</f>
        <v>4.4750917512529496</v>
      </c>
      <c r="G16" s="16">
        <f t="shared" si="0"/>
        <v>5.4446222516176634</v>
      </c>
      <c r="H16" s="16">
        <f t="shared" si="0"/>
        <v>5.9469453841091626</v>
      </c>
      <c r="I16" s="16">
        <f t="shared" si="0"/>
        <v>5.6590559428960212</v>
      </c>
      <c r="J16" s="16">
        <f t="shared" si="0"/>
        <v>6.0927652115792634</v>
      </c>
      <c r="K16" s="16">
        <f t="shared" si="0"/>
        <v>6.0976142089621366</v>
      </c>
      <c r="L16" s="16">
        <f t="shared" si="0"/>
        <v>6.3279415846485803</v>
      </c>
      <c r="M16" s="16">
        <f t="shared" si="0"/>
        <v>7.0095037627925798</v>
      </c>
      <c r="N16" s="16">
        <f t="shared" si="0"/>
        <v>7.5711771242618884</v>
      </c>
      <c r="O16" s="16">
        <f t="shared" si="0"/>
        <v>7.937808715762241</v>
      </c>
      <c r="P16" s="16">
        <f t="shared" si="0"/>
        <v>8.3306919291859725</v>
      </c>
      <c r="Q16" s="16">
        <f t="shared" si="0"/>
        <v>9.369972199445602</v>
      </c>
      <c r="R16" s="16">
        <f t="shared" si="0"/>
        <v>7.0892341737595572</v>
      </c>
      <c r="S16" s="16">
        <f t="shared" si="0"/>
        <v>5.4793670426458965</v>
      </c>
      <c r="T16" s="16">
        <f t="shared" si="0"/>
        <v>4.957246848957868</v>
      </c>
      <c r="U16" s="16">
        <f t="shared" si="0"/>
        <v>4.8935172428682936</v>
      </c>
      <c r="V16" s="16">
        <f t="shared" si="0"/>
        <v>4.5504713609212226</v>
      </c>
      <c r="W16" s="16">
        <f t="shared" si="0"/>
        <v>0.10037237370560359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765B8-342C-4A6E-9692-B7C6F1796DEE}">
  <dimension ref="A1:AK36"/>
  <sheetViews>
    <sheetView tabSelected="1" workbookViewId="0">
      <selection activeCell="F28" sqref="F28"/>
    </sheetView>
  </sheetViews>
  <sheetFormatPr defaultRowHeight="14.5" x14ac:dyDescent="0.35"/>
  <cols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61</v>
      </c>
      <c r="B1" s="3"/>
    </row>
    <row r="2" spans="1:37" x14ac:dyDescent="0.35">
      <c r="A2" s="3" t="s">
        <v>71</v>
      </c>
      <c r="B2" s="3"/>
      <c r="C2">
        <v>436</v>
      </c>
      <c r="E2" t="s">
        <v>68</v>
      </c>
    </row>
    <row r="3" spans="1:37" x14ac:dyDescent="0.35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5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30"/>
    </row>
    <row r="7" spans="1:37" x14ac:dyDescent="0.35">
      <c r="A7" s="3"/>
      <c r="B7" s="6" t="s">
        <v>2</v>
      </c>
      <c r="C7" s="30"/>
    </row>
    <row r="8" spans="1:37" x14ac:dyDescent="0.35">
      <c r="A8" s="3"/>
      <c r="B8" s="4" t="s">
        <v>47</v>
      </c>
      <c r="C8" s="30"/>
    </row>
    <row r="9" spans="1:37" x14ac:dyDescent="0.35">
      <c r="A9" s="11" t="s">
        <v>7</v>
      </c>
      <c r="B9" s="7" t="s">
        <v>34</v>
      </c>
      <c r="C9" s="3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30"/>
    </row>
    <row r="11" spans="1:37" x14ac:dyDescent="0.35">
      <c r="A11" s="11" t="s">
        <v>8</v>
      </c>
      <c r="B11" s="17" t="s">
        <v>9</v>
      </c>
      <c r="C11" s="3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30"/>
    </row>
    <row r="13" spans="1:37" x14ac:dyDescent="0.35">
      <c r="A13" s="12"/>
      <c r="B13" s="8" t="s">
        <v>10</v>
      </c>
      <c r="C13" s="30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30"/>
    </row>
    <row r="15" spans="1:37" x14ac:dyDescent="0.35">
      <c r="A15" s="13"/>
      <c r="B15" s="19" t="s">
        <v>4</v>
      </c>
      <c r="C15" s="3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30">
        <f>C6*SIN(RADIANS(C9+5.15))*C13/1000</f>
        <v>0</v>
      </c>
      <c r="D16" s="16">
        <f t="shared" ref="D16:AE16" si="0">D6*SIN(RADIANS(D9+5.15))*D13/1000</f>
        <v>0</v>
      </c>
      <c r="E16" s="16">
        <f t="shared" si="0"/>
        <v>0</v>
      </c>
      <c r="F16" s="16">
        <f>F6*SIN(RADIANS(F9+5.15))*F13/1000</f>
        <v>0</v>
      </c>
      <c r="G16" s="16">
        <f t="shared" si="0"/>
        <v>0</v>
      </c>
      <c r="H16" s="16">
        <f t="shared" si="0"/>
        <v>0</v>
      </c>
      <c r="I16" s="16">
        <f t="shared" si="0"/>
        <v>0</v>
      </c>
      <c r="J16" s="16">
        <f t="shared" si="0"/>
        <v>0</v>
      </c>
      <c r="K16" s="16">
        <f t="shared" si="0"/>
        <v>0</v>
      </c>
      <c r="L16" s="16">
        <f t="shared" si="0"/>
        <v>0</v>
      </c>
      <c r="M16" s="16">
        <f t="shared" si="0"/>
        <v>0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D13" sqref="D13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18</v>
      </c>
    </row>
    <row r="3" spans="1:36" x14ac:dyDescent="0.35">
      <c r="B3" s="3" t="s">
        <v>14</v>
      </c>
      <c r="C3">
        <f>C2-C2*0.17</f>
        <v>402.55</v>
      </c>
    </row>
    <row r="4" spans="1:36" x14ac:dyDescent="0.35">
      <c r="B4" s="3" t="s">
        <v>17</v>
      </c>
      <c r="C4">
        <v>398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5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5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5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5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485</v>
      </c>
      <c r="F2" t="s">
        <v>21</v>
      </c>
    </row>
    <row r="3" spans="1:36" x14ac:dyDescent="0.35">
      <c r="B3" s="3" t="s">
        <v>14</v>
      </c>
      <c r="C3">
        <f>C2-C2*0.17</f>
        <v>402.55</v>
      </c>
      <c r="F3" t="s">
        <v>41</v>
      </c>
    </row>
    <row r="4" spans="1:36" x14ac:dyDescent="0.35">
      <c r="B4" s="3" t="s">
        <v>17</v>
      </c>
      <c r="C4">
        <v>398</v>
      </c>
      <c r="L4" t="s">
        <v>16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5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5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5">
      <c r="L16" t="s">
        <v>19</v>
      </c>
    </row>
    <row r="29" spans="18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B22" sqref="B22"/>
    </sheetView>
  </sheetViews>
  <sheetFormatPr defaultRowHeight="14.5" x14ac:dyDescent="0.35"/>
  <cols>
    <col min="1" max="1" width="9.08984375" style="3"/>
    <col min="2" max="2" width="19.6328125" style="3" customWidth="1"/>
    <col min="3" max="3" width="12.36328125" customWidth="1"/>
    <col min="5" max="5" width="8.6328125" customWidth="1"/>
    <col min="6" max="6" width="11.36328125" customWidth="1"/>
    <col min="7" max="7" width="13.36328125" customWidth="1"/>
    <col min="8" max="9" width="13.453125" customWidth="1"/>
    <col min="10" max="10" width="14" customWidth="1"/>
  </cols>
  <sheetData>
    <row r="1" spans="1:36" x14ac:dyDescent="0.35">
      <c r="A1" s="3" t="s">
        <v>15</v>
      </c>
    </row>
    <row r="2" spans="1:36" x14ac:dyDescent="0.35">
      <c r="A2" s="3" t="s">
        <v>5</v>
      </c>
      <c r="C2">
        <v>457</v>
      </c>
      <c r="F2" t="s">
        <v>18</v>
      </c>
    </row>
    <row r="3" spans="1:36" x14ac:dyDescent="0.35">
      <c r="B3" s="3" t="s">
        <v>14</v>
      </c>
      <c r="C3">
        <f>C2-C2*0.17</f>
        <v>379.31</v>
      </c>
    </row>
    <row r="4" spans="1:36" x14ac:dyDescent="0.35">
      <c r="B4" s="3" t="s">
        <v>17</v>
      </c>
      <c r="C4">
        <v>384</v>
      </c>
    </row>
    <row r="5" spans="1:36" s="10" customFormat="1" x14ac:dyDescent="0.35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5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5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5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5">
      <c r="A9" s="12"/>
      <c r="B9" s="8" t="s">
        <v>13</v>
      </c>
    </row>
    <row r="10" spans="1:36" s="1" customFormat="1" x14ac:dyDescent="0.35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5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5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5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5">
      <c r="A14" s="13"/>
      <c r="B14" s="9" t="s">
        <v>4</v>
      </c>
    </row>
    <row r="15" spans="1:36" x14ac:dyDescent="0.35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5">
      <c r="J18">
        <f>1-348/457</f>
        <v>0.23851203501094087</v>
      </c>
    </row>
    <row r="29" spans="10:18" x14ac:dyDescent="0.35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topLeftCell="B1" workbookViewId="0">
      <selection activeCell="C9" sqref="C9"/>
    </sheetView>
  </sheetViews>
  <sheetFormatPr defaultRowHeight="14.5" x14ac:dyDescent="0.35"/>
  <cols>
    <col min="2" max="2" width="39.81640625" bestFit="1" customWidth="1"/>
    <col min="13" max="13" width="19.453125" bestFit="1" customWidth="1"/>
    <col min="14" max="14" width="18.54296875" bestFit="1" customWidth="1"/>
    <col min="16" max="16" width="18.08984375" bestFit="1" customWidth="1"/>
    <col min="17" max="17" width="17.26953125" bestFit="1" customWidth="1"/>
  </cols>
  <sheetData>
    <row r="1" spans="1:37" x14ac:dyDescent="0.35">
      <c r="A1" s="3" t="s">
        <v>79</v>
      </c>
      <c r="B1" s="3"/>
    </row>
    <row r="2" spans="1:37" x14ac:dyDescent="0.35">
      <c r="A2" s="3" t="s">
        <v>71</v>
      </c>
      <c r="B2" s="3"/>
      <c r="C2">
        <v>479</v>
      </c>
      <c r="E2" t="s">
        <v>80</v>
      </c>
    </row>
    <row r="3" spans="1:37" x14ac:dyDescent="0.35">
      <c r="A3" s="3" t="s">
        <v>70</v>
      </c>
      <c r="B3" s="3"/>
      <c r="C3">
        <v>413</v>
      </c>
      <c r="D3">
        <f>(C3/C2)</f>
        <v>0.86221294363256784</v>
      </c>
      <c r="E3">
        <f>1-D3</f>
        <v>0.13778705636743216</v>
      </c>
    </row>
    <row r="4" spans="1:37" x14ac:dyDescent="0.35">
      <c r="A4" s="3" t="s">
        <v>35</v>
      </c>
      <c r="B4" s="3"/>
      <c r="C4">
        <v>0</v>
      </c>
      <c r="E4" t="s">
        <v>59</v>
      </c>
      <c r="K4" t="s">
        <v>81</v>
      </c>
      <c r="O4" s="3"/>
    </row>
    <row r="5" spans="1:37" x14ac:dyDescent="0.35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5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76.481999999999999</v>
      </c>
      <c r="L6">
        <v>68.266999999999996</v>
      </c>
    </row>
    <row r="7" spans="1:37" x14ac:dyDescent="0.35">
      <c r="A7" s="3"/>
      <c r="B7" s="6" t="s">
        <v>82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-9.125</v>
      </c>
      <c r="L7">
        <v>-21.331</v>
      </c>
    </row>
    <row r="8" spans="1:37" x14ac:dyDescent="0.35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621.33600000000001</v>
      </c>
      <c r="L8">
        <v>621.36500000000001</v>
      </c>
    </row>
    <row r="9" spans="1:37" x14ac:dyDescent="0.35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56</v>
      </c>
      <c r="L9" s="1">
        <v>56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5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456</v>
      </c>
      <c r="L10">
        <v>446</v>
      </c>
    </row>
    <row r="11" spans="1:37" x14ac:dyDescent="0.35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5">
      <c r="A12" s="12"/>
      <c r="B12" s="18" t="s">
        <v>33</v>
      </c>
      <c r="C12" s="16"/>
    </row>
    <row r="13" spans="1:37" x14ac:dyDescent="0.35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5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67</v>
      </c>
      <c r="L14">
        <v>76</v>
      </c>
    </row>
    <row r="15" spans="1:37" x14ac:dyDescent="0.35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5">
      <c r="A16" s="3"/>
      <c r="B16" s="5" t="s">
        <v>6</v>
      </c>
      <c r="C16" s="16">
        <f>-C6*SIN(RADIANS(C9+5.15))*C13/1000</f>
        <v>-1.9089163300292105</v>
      </c>
      <c r="D16" s="16">
        <f t="shared" ref="D16:AE16" si="0">-D6*SIN(RADIANS(D9+5.15))*D13/1000</f>
        <v>-4.0809375058192954</v>
      </c>
      <c r="E16" s="16">
        <f t="shared" si="0"/>
        <v>-7.0574220518637798</v>
      </c>
      <c r="F16" s="16">
        <f t="shared" si="0"/>
        <v>-10.09453321766197</v>
      </c>
      <c r="G16" s="16">
        <f t="shared" si="0"/>
        <v>-13.401234911810583</v>
      </c>
      <c r="H16" s="16">
        <f t="shared" si="0"/>
        <v>-14.847761858930939</v>
      </c>
      <c r="I16" s="16">
        <f t="shared" si="0"/>
        <v>-15.781617917093591</v>
      </c>
      <c r="J16" s="16">
        <f t="shared" si="0"/>
        <v>-16.386164614410578</v>
      </c>
      <c r="K16" s="16">
        <f t="shared" si="0"/>
        <v>-16.727950101680829</v>
      </c>
      <c r="L16" s="16">
        <f t="shared" si="0"/>
        <v>-14.931186025358189</v>
      </c>
      <c r="M16" s="16">
        <f t="shared" si="0"/>
        <v>0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15" x14ac:dyDescent="0.35">
      <c r="A17" s="3"/>
      <c r="B17" s="3"/>
      <c r="N17" s="3"/>
      <c r="O17" s="3"/>
    </row>
    <row r="18" spans="1:15" x14ac:dyDescent="0.35">
      <c r="A18" s="3"/>
      <c r="B18" t="s">
        <v>72</v>
      </c>
    </row>
    <row r="19" spans="1:15" x14ac:dyDescent="0.35">
      <c r="A19" s="3"/>
      <c r="B19" s="3"/>
    </row>
    <row r="20" spans="1:15" x14ac:dyDescent="0.35">
      <c r="A20" s="3"/>
      <c r="B20" s="3"/>
    </row>
    <row r="21" spans="1:15" x14ac:dyDescent="0.35">
      <c r="A21" s="3"/>
      <c r="B21" s="21" t="s">
        <v>52</v>
      </c>
    </row>
    <row r="22" spans="1:15" x14ac:dyDescent="0.35">
      <c r="A22" s="3"/>
      <c r="B22" s="3"/>
    </row>
    <row r="23" spans="1:15" x14ac:dyDescent="0.35">
      <c r="A23" s="3"/>
      <c r="B23" s="3"/>
    </row>
    <row r="24" spans="1:15" x14ac:dyDescent="0.35">
      <c r="A24" s="3"/>
      <c r="B24" s="3"/>
    </row>
    <row r="25" spans="1:15" x14ac:dyDescent="0.35">
      <c r="A25" s="3"/>
      <c r="B25" s="3"/>
    </row>
    <row r="26" spans="1:15" x14ac:dyDescent="0.35">
      <c r="A26" s="3"/>
      <c r="B26" s="3"/>
    </row>
    <row r="27" spans="1:15" x14ac:dyDescent="0.35">
      <c r="A27" s="3"/>
      <c r="B27" s="29" t="s">
        <v>69</v>
      </c>
    </row>
    <row r="28" spans="1:15" x14ac:dyDescent="0.35">
      <c r="A28" s="3"/>
      <c r="B28" s="3"/>
    </row>
    <row r="29" spans="1:15" x14ac:dyDescent="0.35">
      <c r="A29" s="3"/>
      <c r="B29" s="3"/>
    </row>
    <row r="30" spans="1:15" x14ac:dyDescent="0.35">
      <c r="A30" s="3"/>
      <c r="B30" s="3"/>
    </row>
    <row r="31" spans="1:15" x14ac:dyDescent="0.35">
      <c r="A31" s="3"/>
      <c r="B31" s="3"/>
    </row>
    <row r="32" spans="1:15" x14ac:dyDescent="0.35">
      <c r="A32" s="3"/>
      <c r="B32" s="3"/>
    </row>
    <row r="33" spans="1:2" x14ac:dyDescent="0.35">
      <c r="A33" s="3"/>
      <c r="B33" s="3"/>
    </row>
    <row r="34" spans="1:2" x14ac:dyDescent="0.35">
      <c r="A34" s="3"/>
      <c r="B34" s="3"/>
    </row>
    <row r="35" spans="1:2" x14ac:dyDescent="0.35">
      <c r="A35" s="3"/>
      <c r="B35" s="3"/>
    </row>
    <row r="36" spans="1:2" x14ac:dyDescent="0.35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ExtTest10mm_13</vt:lpstr>
      <vt:lpstr>FlxTest10mm_1</vt:lpstr>
      <vt:lpstr>FlxTest10mm_2</vt:lpstr>
      <vt:lpstr>FlxTest10mm_3</vt:lpstr>
      <vt:lpstr>FlxTest10mm_4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Mohammad Elzein</cp:lastModifiedBy>
  <dcterms:created xsi:type="dcterms:W3CDTF">2021-05-24T00:23:13Z</dcterms:created>
  <dcterms:modified xsi:type="dcterms:W3CDTF">2026-07-31T06:09:34Z</dcterms:modified>
</cp:coreProperties>
</file>