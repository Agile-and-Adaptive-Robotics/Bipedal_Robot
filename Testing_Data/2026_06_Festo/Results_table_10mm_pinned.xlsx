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ze\Documents\GitHub\Bipedal_Robot\Testing_Data\2026_06_Festo\"/>
    </mc:Choice>
  </mc:AlternateContent>
  <xr:revisionPtr revIDLastSave="0" documentId="13_ncr:1_{FDD150D4-4730-494D-96AC-EE7AD0BAEDC4}" xr6:coauthVersionLast="47" xr6:coauthVersionMax="47" xr10:uidLastSave="{00000000-0000-0000-0000-000000000000}"/>
  <bookViews>
    <workbookView xWindow="26685" yWindow="-16200" windowWidth="14610" windowHeight="15585" firstSheet="13" activeTab="15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ExtTest10mm_12" sheetId="22" r:id="rId12"/>
    <sheet name="FlxTest10mm_1" sheetId="7" r:id="rId13"/>
    <sheet name="FlxTest10mm_2" sheetId="8" r:id="rId14"/>
    <sheet name="FlxTest10mm_3" sheetId="15" r:id="rId15"/>
    <sheet name="FlxTest10mm_4" sheetId="23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23" l="1"/>
  <c r="E16" i="23"/>
  <c r="F16" i="23"/>
  <c r="G16" i="23"/>
  <c r="H16" i="23"/>
  <c r="I16" i="23"/>
  <c r="J16" i="23"/>
  <c r="K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C16" i="23"/>
  <c r="D3" i="23"/>
  <c r="E3" i="23" s="1"/>
  <c r="D3" i="22"/>
  <c r="E3" i="22" s="1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6BB9B1E-AE6F-4367-98DA-1738BC17BA3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81A90AF-6CB1-444A-AC50-05218AF784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E9CB4941-5049-48DD-9386-0FE986486E00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4B24DE55-490A-4648-B1F6-ECBEA4FE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tc={F99A6D76-844F-423C-8E72-632020492202}</author>
    <author>tc={57404540-41ED-4CFC-A34A-B0C06D36E435}</author>
    <author>tc={FD23BCFD-5D0D-499D-B1BC-4D31A4174384}</author>
    <author>tc={34C2BEB3-8987-42FD-9240-D19AB0F3395E}</author>
    <author>tc={619279C5-5896-4658-A891-94E7656E0604}</author>
  </authors>
  <commentList>
    <comment ref="C2" authorId="0" shapeId="0" xr:uid="{F99A6D76-844F-423C-8E72-6320204922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7404540-41ED-4CFC-A34A-B0C06D36E4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FD23BCFD-5D0D-499D-B1BC-4D31A41743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4C2BEB3-8987-42FD-9240-D19AB0F3395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19279C5-5896-4658-A891-94E7656E0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tc={B3DD3E36-DE23-4526-822F-7544076C12AF}</author>
    <author>tc={44F69930-AA26-4737-9556-6F232E8AC193}</author>
    <author>tc={6E9C7D1B-6D13-4A15-A63C-B49E3DDDDD72}</author>
    <author>tc={A117DFD4-25AF-41A6-9D26-99F7C9197E59}</author>
    <author>tc={70F2E1CB-BEA3-46AD-8012-48E9D04ADA3E}</author>
  </authors>
  <commentList>
    <comment ref="C2" authorId="0" shapeId="0" xr:uid="{B3DD3E36-DE23-4526-822F-7544076C12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44F69930-AA26-4737-9556-6F232E8AC1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6E9C7D1B-6D13-4A15-A63C-B49E3DDDDD72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A117DFD4-25AF-41A6-9D26-99F7C9197E5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70F2E1CB-BEA3-46AD-8012-48E9D04ADA3E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sharedStrings.xml><?xml version="1.0" encoding="utf-8"?>
<sst xmlns="http://schemas.openxmlformats.org/spreadsheetml/2006/main" count="359" uniqueCount="81">
  <si>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</si>
  <si>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</si>
  <si>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</si>
  <si>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</si>
  <si>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</si>
  <si>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</si>
  <si>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</si>
  <si>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</si>
  <si>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</si>
  <si>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</si>
  <si>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</si>
  <si>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</si>
  <si>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</si>
  <si>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</si>
  <si>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</si>
  <si>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</si>
  <si>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</si>
  <si>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</si>
  <si>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</si>
  <si>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</si>
  <si>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</si>
  <si>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</si>
  <si>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</si>
  <si>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</si>
  <si>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</si>
  <si>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</si>
  <si>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</si>
  <si>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</si>
  <si>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</si>
  <si>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</si>
  <si>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</si>
  <si>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</si>
  <si>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</si>
  <si>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</si>
  <si>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</si>
  <si>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</si>
  <si>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</si>
  <si>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</si>
  <si>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</si>
  <si>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</si>
  <si>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</si>
  <si>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</si>
  <si>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</si>
  <si>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</si>
  <si>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</si>
  <si>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</si>
  <si>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</si>
  <si>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</si>
  <si>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</si>
  <si>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</si>
  <si>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</si>
  <si>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</si>
  <si>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</si>
  <si>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</si>
  <si>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</si>
  <si>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</si>
  <si>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</si>
  <si>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</si>
  <si>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</si>
  <si>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</si>
  <si>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</si>
  <si>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</si>
  <si>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</si>
  <si>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</si>
  <si>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</si>
  <si>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</si>
  <si>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</si>
  <si>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</si>
  <si>
    <t>^Collected by Moe</t>
  </si>
  <si>
    <t>I found the encoder magnets and recalibrated</t>
  </si>
  <si>
    <t>Max contraction length (mm)</t>
  </si>
  <si>
    <t>Resting muscle length (mm)</t>
  </si>
  <si>
    <t>*start from the second readings</t>
  </si>
  <si>
    <t xml:space="preserve">* preloaded 2.08N </t>
  </si>
  <si>
    <t>*preloaded 3.35N</t>
  </si>
  <si>
    <t>*preloaded 4.56</t>
  </si>
  <si>
    <t>* preloaded 5.8 N</t>
  </si>
  <si>
    <t>*preloaded 9.5N</t>
  </si>
  <si>
    <t>*preloaded 1.5N</t>
  </si>
  <si>
    <t>Flex test 4</t>
  </si>
  <si>
    <t>^Collected by Moe &amp; 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</si>
</sst>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4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4" fillId="0" borderId="12" xfId="1" applyFont="1" applyFill="1" applyBorder="1"/>
    <xf numFmtId="0" fontId="4" fillId="0" borderId="0" xfId="1" applyFont="1" applyFill="1"/>
    <xf numFmtId="0" fontId="4" fillId="0" borderId="8" xfId="1" applyFont="1" applyFill="1" applyBorder="1"/>
    <xf numFmtId="0" fontId="4" fillId="0" borderId="10" xfId="1" applyFont="1" applyFill="1" applyBorder="1"/>
    <xf numFmtId="0" fontId="5" fillId="0" borderId="0" xfId="0" applyFont="1"/>
    <xf numFmtId="0" fontId="5" fillId="0" borderId="9" xfId="0" applyFont="1" applyBorder="1"/>
    <xf numFmtId="0" fontId="4" fillId="0" borderId="0" xfId="0" applyFont="1"/>
    <xf numFmtId="0" fontId="1" fillId="4" borderId="0" xfId="0" applyFont="1" applyFill="1"/>
    <xf numFmtId="0" fontId="3" fillId="5" borderId="0" xfId="1" applyFont="1" applyFill="1"/>
    <xf numFmtId="0" fontId="3" fillId="5" borderId="8" xfId="1" applyFont="1" applyFill="1" applyBorder="1"/>
    <xf numFmtId="0" fontId="2" fillId="5" borderId="10" xfId="1" applyFill="1" applyBorder="1"/>
    <xf numFmtId="0" fontId="0" fillId="0" borderId="0" xfId="0" applyFill="1" applyBorder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0.26363819717520748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ExtTest10mm_12!$D$7:$S$7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ExtTest10mm_12!$D$16:$AB$16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D-4D76-8301-4B545B22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FlxTest10mm_4!$C$7:$AE$7</c:f>
              <c:numCache>
                <c:formatCode>General</c:formatCode>
                <c:ptCount val="29"/>
                <c:pt idx="0">
                  <c:v>-68.718999999999994</c:v>
                </c:pt>
                <c:pt idx="1">
                  <c:v>-61.898000000000003</c:v>
                </c:pt>
                <c:pt idx="2">
                  <c:v>-54.359000000000002</c:v>
                </c:pt>
                <c:pt idx="3">
                  <c:v>-46.460999999999999</c:v>
                </c:pt>
                <c:pt idx="4">
                  <c:v>-38.204000000000001</c:v>
                </c:pt>
                <c:pt idx="5">
                  <c:v>-32.100999999999999</c:v>
                </c:pt>
                <c:pt idx="6">
                  <c:v>-27.8</c:v>
                </c:pt>
                <c:pt idx="7">
                  <c:v>-24.202999999999999</c:v>
                </c:pt>
              </c:numCache>
            </c:numRef>
          </c:xVal>
          <c:yVal>
            <c:numRef>
              <c:f>FlxTest10mm_4!$C$16:$X$16</c:f>
              <c:numCache>
                <c:formatCode>General</c:formatCode>
                <c:ptCount val="22"/>
                <c:pt idx="0">
                  <c:v>-1.9089163300292105</c:v>
                </c:pt>
                <c:pt idx="1">
                  <c:v>-4.0809375058192954</c:v>
                </c:pt>
                <c:pt idx="2">
                  <c:v>-7.0574220518637798</c:v>
                </c:pt>
                <c:pt idx="3">
                  <c:v>-10.09453321766197</c:v>
                </c:pt>
                <c:pt idx="4">
                  <c:v>-13.401234911810583</c:v>
                </c:pt>
                <c:pt idx="5">
                  <c:v>-14.847761858930939</c:v>
                </c:pt>
                <c:pt idx="6">
                  <c:v>-15.781617917093591</c:v>
                </c:pt>
                <c:pt idx="7">
                  <c:v>-16.386164614410578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28-4152-9B9D-F4BE9A57F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15</xdr:row>
      <xdr:rowOff>114300</xdr:rowOff>
    </xdr:from>
    <xdr:to>
      <xdr:col>9</xdr:col>
      <xdr:colOff>895350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96D25-D710-62E5-8544-989B5550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17</xdr:row>
      <xdr:rowOff>74612</xdr:rowOff>
    </xdr:from>
    <xdr:to>
      <xdr:col>14</xdr:col>
      <xdr:colOff>331258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18</xdr:row>
      <xdr:rowOff>55562</xdr:rowOff>
    </xdr:from>
    <xdr:to>
      <xdr:col>9</xdr:col>
      <xdr:colOff>600075</xdr:colOff>
      <xdr:row>33</xdr:row>
      <xdr:rowOff>96837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83CC11-D790-13A2-4619-F46E06DD1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99A6D76-844F-423C-8E72-632020492202}">
    <text>Recheck after test</text>
  </threadedComment>
  <threadedComment ref="C3" dT="2026-07-18T06:57:43.54" personId="{10A700E7-E0AC-4B04-B751-E14560120F23}" id="{57404540-41ED-4CFC-A34A-B0C06D36E435}">
    <text>Recheck after test</text>
  </threadedComment>
  <threadedComment ref="D3" dT="2026-07-17T08:55:32.82" personId="{10A700E7-E0AC-4B04-B751-E14560120F23}" id="{FD23BCFD-5D0D-499D-B1BC-4D31A4174384}">
    <text>Max contracted length normalized by resting length</text>
  </threadedComment>
  <threadedComment ref="E3" dT="2026-07-17T08:54:37.64" personId="{10A700E7-E0AC-4B04-B751-E14560120F23}" id="{34C2BEB3-8987-42FD-9240-D19AB0F3395E}">
    <text>Kmax</text>
  </threadedComment>
  <threadedComment ref="C4" dT="2026-07-18T06:57:17.11" personId="{10A700E7-E0AC-4B04-B751-E14560120F23}" id="{619279C5-5896-4658-A891-94E7656E0604}">
    <text>So it can reach -114 degrees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B3DD3E36-DE23-4526-822F-7544076C12AF}">
    <text>Recheck after test</text>
  </threadedComment>
  <threadedComment ref="C3" dT="2026-07-18T06:57:43.54" personId="{10A700E7-E0AC-4B04-B751-E14560120F23}" id="{44F69930-AA26-4737-9556-6F232E8AC193}">
    <text>Recheck after test</text>
  </threadedComment>
  <threadedComment ref="D3" dT="2026-07-17T08:55:32.82" personId="{10A700E7-E0AC-4B04-B751-E14560120F23}" id="{6E9C7D1B-6D13-4A15-A63C-B49E3DDDDD72}">
    <text>Max contracted length normalized by resting length</text>
  </threadedComment>
  <threadedComment ref="E3" dT="2026-07-17T08:54:37.64" personId="{10A700E7-E0AC-4B04-B751-E14560120F23}" id="{A117DFD4-25AF-41A6-9D26-99F7C9197E59}">
    <text>Kmax</text>
  </threadedComment>
  <threadedComment ref="C4" dT="2026-07-18T06:57:17.11" personId="{10A700E7-E0AC-4B04-B751-E14560120F23}" id="{70F2E1CB-BEA3-46AD-8012-48E9D04ADA3E}">
    <text>So it can reach -114 degrees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6.xml"/><Relationship Id="rId4" Type="http://schemas.microsoft.com/office/2017/10/relationships/threadedComment" Target="../threadedComments/threadedComment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J1"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486</v>
      </c>
      <c r="F2" t="s">
        <v>18</v>
      </c>
    </row>
    <row r="3" spans="1:36" x14ac:dyDescent="0.35">
      <c r="B3" s="3" t="s">
        <v>14</v>
      </c>
      <c r="C3">
        <f>C2-C2*0.17</f>
        <v>403.38</v>
      </c>
    </row>
    <row r="4" spans="1:36" x14ac:dyDescent="0.35">
      <c r="B4" s="3" t="s">
        <v>17</v>
      </c>
      <c r="C4">
        <v>405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1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5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5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5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0.26363819717520748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4" x14ac:dyDescent="0.35">
      <c r="C17" t="s">
        <v>20</v>
      </c>
    </row>
    <row r="18" spans="3:24" x14ac:dyDescent="0.35">
      <c r="C18">
        <f>C6+4.6262</f>
        <v>5.6261999999999999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4" x14ac:dyDescent="0.35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4" x14ac:dyDescent="0.35">
      <c r="C20" t="s">
        <v>45</v>
      </c>
    </row>
    <row r="21" spans="3:24" x14ac:dyDescent="0.35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</row>
    <row r="22" spans="3:24" x14ac:dyDescent="0.35">
      <c r="T22">
        <v>480</v>
      </c>
      <c r="U22">
        <v>470</v>
      </c>
      <c r="V22">
        <v>450</v>
      </c>
      <c r="W22">
        <v>420</v>
      </c>
      <c r="X22">
        <v>405</v>
      </c>
    </row>
    <row r="23" spans="3:24" x14ac:dyDescent="0.35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4" x14ac:dyDescent="0.35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4" x14ac:dyDescent="0.35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15"/>
  <sheetViews>
    <sheetView topLeftCell="P1"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457</v>
      </c>
      <c r="F2" t="s">
        <v>22</v>
      </c>
    </row>
    <row r="3" spans="1:36" x14ac:dyDescent="0.35">
      <c r="B3" s="3" t="s">
        <v>14</v>
      </c>
      <c r="C3">
        <f>C2-C2*0.17</f>
        <v>379.31</v>
      </c>
    </row>
    <row r="4" spans="1:36" x14ac:dyDescent="0.35">
      <c r="B4" s="3" t="s">
        <v>17</v>
      </c>
      <c r="C4">
        <v>380</v>
      </c>
      <c r="D4">
        <f>1-C4/C2</f>
        <v>0.16849015317286653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5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5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15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486</v>
      </c>
      <c r="F2" t="s">
        <v>21</v>
      </c>
    </row>
    <row r="3" spans="1:36" x14ac:dyDescent="0.35">
      <c r="B3" s="3" t="s">
        <v>14</v>
      </c>
      <c r="C3">
        <f>C2-C2*0.17</f>
        <v>403.38</v>
      </c>
    </row>
    <row r="4" spans="1:36" x14ac:dyDescent="0.35">
      <c r="B4" s="3" t="s">
        <v>17</v>
      </c>
      <c r="C4">
        <v>405</v>
      </c>
      <c r="D4">
        <f>1-398/486</f>
        <v>0.18106995884773658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5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5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415</v>
      </c>
      <c r="F2" t="s">
        <v>18</v>
      </c>
    </row>
    <row r="3" spans="1:36" x14ac:dyDescent="0.35">
      <c r="B3" s="3" t="s">
        <v>14</v>
      </c>
      <c r="C3">
        <f>C2-C2*0.17</f>
        <v>344.45</v>
      </c>
      <c r="F3" t="s">
        <v>28</v>
      </c>
    </row>
    <row r="4" spans="1:36" x14ac:dyDescent="0.35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5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5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5">
      <c r="U16" t="s">
        <v>23</v>
      </c>
      <c r="AB16" t="s">
        <v>25</v>
      </c>
    </row>
    <row r="17" spans="17:29" x14ac:dyDescent="0.35">
      <c r="AB17">
        <v>2.2241</v>
      </c>
    </row>
    <row r="18" spans="17:29" x14ac:dyDescent="0.35">
      <c r="AC18" t="s">
        <v>27</v>
      </c>
    </row>
    <row r="24" spans="17:29" x14ac:dyDescent="0.35">
      <c r="Q24" t="s">
        <v>44</v>
      </c>
    </row>
    <row r="25" spans="17:29" x14ac:dyDescent="0.35">
      <c r="Q25" t="s">
        <v>42</v>
      </c>
      <c r="R25">
        <v>630</v>
      </c>
      <c r="S25">
        <v>-1.4999999999999999E-2</v>
      </c>
    </row>
    <row r="26" spans="17:29" x14ac:dyDescent="0.35">
      <c r="Q26" t="s">
        <v>43</v>
      </c>
      <c r="R26">
        <v>-1.4999999999999999E-2</v>
      </c>
      <c r="S26">
        <v>0</v>
      </c>
    </row>
    <row r="27" spans="17:29" x14ac:dyDescent="0.35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16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17" x14ac:dyDescent="0.35">
      <c r="A1" s="3" t="s">
        <v>38</v>
      </c>
    </row>
    <row r="2" spans="1:17" x14ac:dyDescent="0.35">
      <c r="A2" s="3" t="s">
        <v>5</v>
      </c>
      <c r="C2">
        <v>415</v>
      </c>
      <c r="E2" t="s">
        <v>37</v>
      </c>
    </row>
    <row r="3" spans="1:17" x14ac:dyDescent="0.35">
      <c r="A3" s="3" t="s">
        <v>36</v>
      </c>
      <c r="C3">
        <v>350</v>
      </c>
    </row>
    <row r="4" spans="1:17" x14ac:dyDescent="0.35">
      <c r="A4" s="3" t="s">
        <v>35</v>
      </c>
      <c r="C4" t="s">
        <v>40</v>
      </c>
      <c r="L4" t="s">
        <v>16</v>
      </c>
    </row>
    <row r="5" spans="1:17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5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5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5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5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5">
      <c r="A10" s="11" t="s">
        <v>8</v>
      </c>
      <c r="B10" s="7" t="s">
        <v>9</v>
      </c>
    </row>
    <row r="11" spans="1:17" x14ac:dyDescent="0.35">
      <c r="A11" s="12"/>
      <c r="B11" s="8" t="s">
        <v>33</v>
      </c>
    </row>
    <row r="12" spans="1:17" x14ac:dyDescent="0.35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5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5">
      <c r="A14" s="13"/>
      <c r="B14" s="9" t="s">
        <v>4</v>
      </c>
    </row>
    <row r="15" spans="1:17" x14ac:dyDescent="0.35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5">
      <c r="L16" t="s">
        <v>39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15"/>
  <sheetViews>
    <sheetView workbookViewId="0">
      <selection activeCell="A2" sqref="A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1" x14ac:dyDescent="0.35">
      <c r="A1" s="3" t="s">
        <v>66</v>
      </c>
    </row>
    <row r="2" spans="1:31" x14ac:dyDescent="0.35">
      <c r="A2" s="3" t="s">
        <v>5</v>
      </c>
      <c r="C2">
        <v>415</v>
      </c>
      <c r="E2" t="s">
        <v>37</v>
      </c>
    </row>
    <row r="3" spans="1:31" x14ac:dyDescent="0.35">
      <c r="A3" s="3" t="s">
        <v>36</v>
      </c>
      <c r="C3">
        <v>350</v>
      </c>
    </row>
    <row r="4" spans="1:31" x14ac:dyDescent="0.35">
      <c r="A4" s="3" t="s">
        <v>35</v>
      </c>
      <c r="C4" t="s">
        <v>40</v>
      </c>
    </row>
    <row r="5" spans="1:31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5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5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5">
      <c r="A9" s="12"/>
      <c r="B9" s="8" t="s">
        <v>3</v>
      </c>
      <c r="C9">
        <v>1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5">
      <c r="A10" s="11" t="s">
        <v>8</v>
      </c>
      <c r="B10" s="7" t="s">
        <v>9</v>
      </c>
    </row>
    <row r="11" spans="1:31" x14ac:dyDescent="0.35">
      <c r="A11" s="12"/>
      <c r="B11" s="8" t="s">
        <v>33</v>
      </c>
    </row>
    <row r="12" spans="1:31" x14ac:dyDescent="0.35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5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5">
      <c r="A14" s="13"/>
      <c r="B14" s="9" t="s">
        <v>4</v>
      </c>
    </row>
    <row r="15" spans="1:31" x14ac:dyDescent="0.35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16"/>
  <sheetViews>
    <sheetView zoomScale="106" workbookViewId="0">
      <selection activeCell="A2" sqref="A2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9.6328125" bestFit="1" customWidth="1"/>
    <col min="9" max="9" width="13.453125" customWidth="1"/>
    <col min="10" max="10" width="14" customWidth="1"/>
  </cols>
  <sheetData>
    <row r="1" spans="1:31" x14ac:dyDescent="0.35">
      <c r="A1" s="3" t="s">
        <v>65</v>
      </c>
    </row>
    <row r="2" spans="1:31" x14ac:dyDescent="0.35">
      <c r="A2" s="3" t="s">
        <v>5</v>
      </c>
      <c r="C2">
        <v>403</v>
      </c>
      <c r="E2" t="s">
        <v>46</v>
      </c>
    </row>
    <row r="3" spans="1:31" x14ac:dyDescent="0.35">
      <c r="A3" s="3" t="s">
        <v>36</v>
      </c>
      <c r="C3">
        <v>345</v>
      </c>
    </row>
    <row r="4" spans="1:31" x14ac:dyDescent="0.35">
      <c r="A4" s="3" t="s">
        <v>35</v>
      </c>
      <c r="C4">
        <v>0</v>
      </c>
      <c r="H4" t="s">
        <v>49</v>
      </c>
    </row>
    <row r="5" spans="1:31" s="10" customFormat="1" x14ac:dyDescent="0.35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5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5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5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5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5">
      <c r="A11" s="11" t="s">
        <v>8</v>
      </c>
      <c r="B11" s="7" t="s">
        <v>9</v>
      </c>
      <c r="C11" s="24"/>
    </row>
    <row r="12" spans="1:31" x14ac:dyDescent="0.35">
      <c r="A12" s="12"/>
      <c r="B12" s="8" t="s">
        <v>33</v>
      </c>
      <c r="C12" s="23"/>
    </row>
    <row r="13" spans="1:31" x14ac:dyDescent="0.35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5">
      <c r="A15" s="13"/>
      <c r="B15" s="9" t="s">
        <v>4</v>
      </c>
      <c r="C15" s="25"/>
    </row>
    <row r="16" spans="1:31" s="28" customFormat="1" x14ac:dyDescent="0.35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17"/>
  <sheetViews>
    <sheetView zoomScale="78" workbookViewId="0">
      <selection activeCell="A2" sqref="A2"/>
    </sheetView>
  </sheetViews>
  <sheetFormatPr defaultRowHeight="14.5" x14ac:dyDescent="0.35"/>
  <cols>
    <col min="1" max="1" width="8.8164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9.6328125" bestFit="1" customWidth="1"/>
    <col min="9" max="9" width="13.453125" customWidth="1"/>
    <col min="10" max="10" width="14" customWidth="1"/>
    <col min="14" max="14" width="14.90625" bestFit="1" customWidth="1"/>
  </cols>
  <sheetData>
    <row r="1" spans="1:31" x14ac:dyDescent="0.35">
      <c r="A1" s="3" t="s">
        <v>64</v>
      </c>
    </row>
    <row r="2" spans="1:31" x14ac:dyDescent="0.35">
      <c r="A2" s="3" t="s">
        <v>5</v>
      </c>
      <c r="C2">
        <v>408</v>
      </c>
      <c r="E2" t="s">
        <v>46</v>
      </c>
    </row>
    <row r="3" spans="1:31" x14ac:dyDescent="0.35">
      <c r="A3" s="3" t="s">
        <v>36</v>
      </c>
      <c r="C3">
        <v>342</v>
      </c>
    </row>
    <row r="4" spans="1:31" x14ac:dyDescent="0.35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5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5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5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5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5" x14ac:dyDescent="0.35">
      <c r="N17" s="3" t="s">
        <v>50</v>
      </c>
      <c r="O17" s="3" t="s">
        <v>51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1"/>
  <sheetViews>
    <sheetView zoomScale="78" workbookViewId="0">
      <selection activeCell="A2" sqref="A2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2.453125" customWidth="1"/>
    <col min="9" max="9" width="13.453125" customWidth="1"/>
    <col min="10" max="10" width="14" customWidth="1"/>
    <col min="12" max="12" width="12.90625" bestFit="1" customWidth="1"/>
    <col min="14" max="14" width="14.90625" bestFit="1" customWidth="1"/>
  </cols>
  <sheetData>
    <row r="1" spans="1:31" x14ac:dyDescent="0.35">
      <c r="A1" s="3" t="s">
        <v>63</v>
      </c>
    </row>
    <row r="2" spans="1:31" x14ac:dyDescent="0.35">
      <c r="A2" s="3" t="s">
        <v>5</v>
      </c>
      <c r="C2">
        <v>400</v>
      </c>
      <c r="E2" t="s">
        <v>46</v>
      </c>
    </row>
    <row r="3" spans="1:31" x14ac:dyDescent="0.35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5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5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5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5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5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5">
      <c r="N17" s="3"/>
      <c r="O17" s="3"/>
    </row>
    <row r="21" spans="2:15" x14ac:dyDescent="0.35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1"/>
  <sheetViews>
    <sheetView zoomScale="78" workbookViewId="0">
      <selection activeCell="A2" sqref="A2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2.453125" customWidth="1"/>
    <col min="9" max="9" width="13.453125" customWidth="1"/>
    <col min="10" max="10" width="14" customWidth="1"/>
    <col min="12" max="12" width="12.90625" bestFit="1" customWidth="1"/>
    <col min="14" max="14" width="14.90625" bestFit="1" customWidth="1"/>
  </cols>
  <sheetData>
    <row r="1" spans="1:31" x14ac:dyDescent="0.35">
      <c r="A1" s="3" t="s">
        <v>62</v>
      </c>
    </row>
    <row r="2" spans="1:31" x14ac:dyDescent="0.35">
      <c r="A2" s="3" t="s">
        <v>5</v>
      </c>
      <c r="C2">
        <v>400</v>
      </c>
      <c r="E2" t="s">
        <v>58</v>
      </c>
    </row>
    <row r="3" spans="1:31" x14ac:dyDescent="0.35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5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5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5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5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5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5">
      <c r="L17" t="s">
        <v>55</v>
      </c>
      <c r="N17" s="3" t="s">
        <v>56</v>
      </c>
      <c r="O17" s="3" t="s">
        <v>57</v>
      </c>
    </row>
    <row r="21" spans="2:15" x14ac:dyDescent="0.35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zoomScale="78" workbookViewId="0">
      <selection activeCell="Y45" sqref="Y45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2.453125" customWidth="1"/>
    <col min="9" max="9" width="13.453125" customWidth="1"/>
    <col min="10" max="10" width="14" customWidth="1"/>
    <col min="12" max="12" width="12.90625" bestFit="1" customWidth="1"/>
    <col min="14" max="14" width="14.90625" bestFit="1" customWidth="1"/>
  </cols>
  <sheetData>
    <row r="1" spans="1:31" x14ac:dyDescent="0.35">
      <c r="A1" s="3" t="s">
        <v>61</v>
      </c>
    </row>
    <row r="2" spans="1:31" x14ac:dyDescent="0.35">
      <c r="A2" s="3" t="s">
        <v>5</v>
      </c>
      <c r="C2">
        <v>432</v>
      </c>
      <c r="E2" t="s">
        <v>58</v>
      </c>
    </row>
    <row r="3" spans="1:31" x14ac:dyDescent="0.35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5">
      <c r="A4" s="3" t="s">
        <v>35</v>
      </c>
      <c r="C4">
        <v>22</v>
      </c>
      <c r="E4" t="s">
        <v>59</v>
      </c>
      <c r="O4" s="3"/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5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5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5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5">
      <c r="A10" s="12"/>
      <c r="B10" s="8" t="s">
        <v>3</v>
      </c>
      <c r="C10" s="16">
        <v>405</v>
      </c>
      <c r="D10">
        <v>395</v>
      </c>
      <c r="E10">
        <v>387</v>
      </c>
      <c r="F10">
        <v>375</v>
      </c>
      <c r="G10">
        <v>363</v>
      </c>
      <c r="H10">
        <v>356</v>
      </c>
      <c r="I10">
        <v>370</v>
      </c>
      <c r="J10">
        <v>375</v>
      </c>
      <c r="K10">
        <v>381</v>
      </c>
      <c r="L10">
        <v>388</v>
      </c>
      <c r="M10">
        <v>390</v>
      </c>
      <c r="N10">
        <v>396</v>
      </c>
      <c r="O10">
        <v>401</v>
      </c>
      <c r="P10">
        <v>403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5">
      <c r="N17" s="3"/>
      <c r="O17" s="3"/>
    </row>
    <row r="21" spans="2:15" x14ac:dyDescent="0.35">
      <c r="B21" s="21" t="s">
        <v>52</v>
      </c>
    </row>
    <row r="27" spans="2:15" x14ac:dyDescent="0.35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E535-3534-4BC1-886C-868F03FBDC68}">
  <dimension ref="A1:AK36"/>
  <sheetViews>
    <sheetView topLeftCell="A17" zoomScale="76" workbookViewId="0">
      <selection activeCell="C40" sqref="C40"/>
    </sheetView>
  </sheetViews>
  <sheetFormatPr defaultRowHeight="14.5" x14ac:dyDescent="0.35"/>
  <cols>
    <col min="2" max="2" width="39.81640625" bestFit="1" customWidth="1"/>
    <col min="13" max="13" width="19.453125" bestFit="1" customWidth="1"/>
    <col min="14" max="14" width="18.54296875" bestFit="1" customWidth="1"/>
    <col min="16" max="16" width="18.08984375" bestFit="1" customWidth="1"/>
    <col min="17" max="17" width="17.26953125" bestFit="1" customWidth="1"/>
  </cols>
  <sheetData>
    <row r="1" spans="1:37" x14ac:dyDescent="0.35">
      <c r="A1" s="3" t="s">
        <v>61</v>
      </c>
      <c r="B1" s="3"/>
    </row>
    <row r="2" spans="1:37" x14ac:dyDescent="0.35">
      <c r="A2" s="3" t="s">
        <v>71</v>
      </c>
      <c r="B2" s="3"/>
      <c r="C2">
        <v>436</v>
      </c>
      <c r="E2" t="s">
        <v>68</v>
      </c>
    </row>
    <row r="3" spans="1:37" x14ac:dyDescent="0.35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5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5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5">
      <c r="A6" s="3"/>
      <c r="B6" s="5" t="s">
        <v>1</v>
      </c>
      <c r="C6" s="30"/>
      <c r="D6">
        <v>1.56</v>
      </c>
      <c r="E6">
        <v>7.27</v>
      </c>
      <c r="F6">
        <v>18.05</v>
      </c>
      <c r="G6">
        <v>22.13</v>
      </c>
      <c r="H6">
        <v>24.334</v>
      </c>
      <c r="I6">
        <v>23.155999999999999</v>
      </c>
      <c r="J6">
        <v>25.13</v>
      </c>
      <c r="K6">
        <v>25.15</v>
      </c>
      <c r="L6">
        <v>26.1</v>
      </c>
      <c r="M6">
        <v>29.18</v>
      </c>
      <c r="N6">
        <v>31.68</v>
      </c>
      <c r="O6">
        <v>32.74</v>
      </c>
      <c r="P6">
        <v>34.68</v>
      </c>
      <c r="Q6">
        <v>38.82</v>
      </c>
      <c r="R6">
        <v>29.24</v>
      </c>
      <c r="S6">
        <v>22.6</v>
      </c>
      <c r="T6">
        <v>20.248000000000001</v>
      </c>
      <c r="U6">
        <v>19.89</v>
      </c>
      <c r="V6">
        <v>18.373999999999999</v>
      </c>
      <c r="W6">
        <v>0.40200000000000002</v>
      </c>
    </row>
    <row r="7" spans="1:37" x14ac:dyDescent="0.35">
      <c r="A7" s="3"/>
      <c r="B7" s="6" t="s">
        <v>2</v>
      </c>
      <c r="C7" s="30"/>
      <c r="D7">
        <v>28.29</v>
      </c>
      <c r="E7">
        <v>18.149999999999999</v>
      </c>
      <c r="F7">
        <v>1.29</v>
      </c>
      <c r="G7">
        <v>-14.86</v>
      </c>
      <c r="H7">
        <v>-25.64</v>
      </c>
      <c r="I7">
        <v>-36.76</v>
      </c>
      <c r="J7">
        <v>-42.87</v>
      </c>
      <c r="K7">
        <v>-49.33</v>
      </c>
      <c r="L7">
        <v>-56.87</v>
      </c>
      <c r="M7">
        <v>-68.36</v>
      </c>
      <c r="N7">
        <v>-77.69</v>
      </c>
      <c r="O7">
        <v>-84.16</v>
      </c>
      <c r="P7">
        <v>-90.1</v>
      </c>
      <c r="Q7">
        <v>-99.233999999999995</v>
      </c>
      <c r="R7">
        <v>-82</v>
      </c>
      <c r="S7">
        <v>-65.48</v>
      </c>
      <c r="T7">
        <v>-47.537999999999997</v>
      </c>
      <c r="U7">
        <v>-26.72</v>
      </c>
      <c r="V7">
        <v>-6.2530000000000001</v>
      </c>
      <c r="W7">
        <v>31.442</v>
      </c>
    </row>
    <row r="8" spans="1:37" x14ac:dyDescent="0.35">
      <c r="A8" s="3"/>
      <c r="B8" s="4" t="s">
        <v>47</v>
      </c>
      <c r="C8" s="30"/>
      <c r="D8">
        <v>622.09299999999996</v>
      </c>
      <c r="E8">
        <v>620.57899999999995</v>
      </c>
      <c r="F8">
        <v>621.33600000000001</v>
      </c>
      <c r="G8">
        <v>621.34</v>
      </c>
      <c r="H8">
        <v>621.33600000000001</v>
      </c>
      <c r="I8">
        <v>620.58000000000004</v>
      </c>
      <c r="J8">
        <v>622.85</v>
      </c>
      <c r="K8">
        <v>622.09299999999996</v>
      </c>
      <c r="L8">
        <v>621.33600000000001</v>
      </c>
      <c r="M8">
        <v>623.04999999999995</v>
      </c>
      <c r="N8">
        <v>623.33600000000001</v>
      </c>
      <c r="O8">
        <v>620.57899999999995</v>
      </c>
      <c r="P8">
        <v>622.85</v>
      </c>
      <c r="Q8">
        <v>621.33600000000001</v>
      </c>
      <c r="R8">
        <v>621.33600000000001</v>
      </c>
      <c r="S8">
        <v>622.09</v>
      </c>
      <c r="T8">
        <v>622.6</v>
      </c>
      <c r="U8">
        <v>622.85</v>
      </c>
      <c r="V8">
        <v>621.33600000000001</v>
      </c>
      <c r="W8">
        <v>620.57899999999995</v>
      </c>
    </row>
    <row r="9" spans="1:37" x14ac:dyDescent="0.35">
      <c r="A9" s="11" t="s">
        <v>7</v>
      </c>
      <c r="B9" s="7" t="s">
        <v>34</v>
      </c>
      <c r="C9" s="31"/>
      <c r="D9" s="1">
        <v>83</v>
      </c>
      <c r="E9" s="1">
        <v>81</v>
      </c>
      <c r="F9" s="1">
        <v>78</v>
      </c>
      <c r="G9" s="1">
        <v>75</v>
      </c>
      <c r="H9" s="1">
        <v>73</v>
      </c>
      <c r="I9" s="1">
        <v>73</v>
      </c>
      <c r="J9" s="1">
        <v>71</v>
      </c>
      <c r="K9" s="1">
        <v>71</v>
      </c>
      <c r="L9" s="1">
        <v>71</v>
      </c>
      <c r="M9" s="1">
        <v>69</v>
      </c>
      <c r="N9" s="1">
        <v>68</v>
      </c>
      <c r="O9" s="1">
        <v>71</v>
      </c>
      <c r="P9" s="1">
        <v>69</v>
      </c>
      <c r="Q9" s="1">
        <v>70</v>
      </c>
      <c r="R9" s="1">
        <v>71</v>
      </c>
      <c r="S9" s="1">
        <v>71</v>
      </c>
      <c r="T9" s="1">
        <v>73.5</v>
      </c>
      <c r="U9" s="1">
        <v>75</v>
      </c>
      <c r="V9" s="1">
        <v>77.5</v>
      </c>
      <c r="W9" s="1">
        <v>84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5">
      <c r="A10" s="12"/>
      <c r="B10" s="8" t="s">
        <v>3</v>
      </c>
      <c r="C10" s="30"/>
      <c r="D10" s="33">
        <v>367</v>
      </c>
      <c r="E10" s="33">
        <v>367</v>
      </c>
      <c r="F10" s="33">
        <v>382</v>
      </c>
      <c r="G10" s="33">
        <v>398</v>
      </c>
      <c r="H10" s="33">
        <v>397</v>
      </c>
      <c r="I10" s="33">
        <v>403</v>
      </c>
      <c r="J10" s="33">
        <v>407</v>
      </c>
      <c r="K10" s="33">
        <v>411</v>
      </c>
      <c r="L10" s="33">
        <v>416</v>
      </c>
      <c r="M10" s="33">
        <v>422</v>
      </c>
      <c r="N10" s="33">
        <v>428</v>
      </c>
      <c r="O10" s="33">
        <v>428</v>
      </c>
      <c r="P10" s="33">
        <v>434</v>
      </c>
      <c r="Q10" s="33">
        <v>434</v>
      </c>
      <c r="R10" s="33">
        <v>425</v>
      </c>
      <c r="S10" s="33">
        <v>420</v>
      </c>
      <c r="T10" s="33">
        <v>398</v>
      </c>
      <c r="U10" s="33">
        <v>396</v>
      </c>
      <c r="V10" s="33">
        <v>386</v>
      </c>
      <c r="W10" s="33">
        <v>366</v>
      </c>
    </row>
    <row r="11" spans="1:37" x14ac:dyDescent="0.35">
      <c r="A11" s="11" t="s">
        <v>8</v>
      </c>
      <c r="B11" s="17" t="s">
        <v>9</v>
      </c>
      <c r="C11" s="3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5">
      <c r="A12" s="12"/>
      <c r="B12" s="18" t="s">
        <v>33</v>
      </c>
      <c r="C12" s="30"/>
    </row>
    <row r="13" spans="1:37" x14ac:dyDescent="0.35">
      <c r="A13" s="12"/>
      <c r="B13" s="8" t="s">
        <v>10</v>
      </c>
      <c r="C13" s="30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5">
      <c r="A14" s="12"/>
      <c r="B14" s="8" t="s">
        <v>11</v>
      </c>
      <c r="C14" s="30"/>
      <c r="D14">
        <v>78</v>
      </c>
      <c r="E14">
        <v>61</v>
      </c>
      <c r="F14">
        <v>55</v>
      </c>
      <c r="G14">
        <v>48</v>
      </c>
      <c r="H14">
        <v>38</v>
      </c>
      <c r="I14">
        <v>32</v>
      </c>
      <c r="J14">
        <v>30</v>
      </c>
      <c r="K14">
        <v>30</v>
      </c>
      <c r="L14">
        <v>30</v>
      </c>
      <c r="M14">
        <v>29</v>
      </c>
      <c r="N14">
        <v>28</v>
      </c>
      <c r="O14">
        <v>26</v>
      </c>
      <c r="P14">
        <v>23</v>
      </c>
      <c r="Q14">
        <v>23</v>
      </c>
      <c r="R14">
        <v>24</v>
      </c>
      <c r="S14">
        <v>29</v>
      </c>
      <c r="T14">
        <v>31</v>
      </c>
      <c r="U14">
        <v>35</v>
      </c>
      <c r="V14">
        <v>50</v>
      </c>
      <c r="W14">
        <v>88</v>
      </c>
    </row>
    <row r="15" spans="1:37" x14ac:dyDescent="0.35">
      <c r="A15" s="13"/>
      <c r="B15" s="19" t="s">
        <v>4</v>
      </c>
      <c r="C15" s="3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5">
      <c r="A16" s="3"/>
      <c r="B16" s="5" t="s">
        <v>6</v>
      </c>
      <c r="C16" s="30">
        <f>C6*SIN(RADIANS(C9+5.15))*C13/1000</f>
        <v>0</v>
      </c>
      <c r="D16" s="16">
        <f t="shared" ref="D16:AE16" si="0">D6*SIN(RADIANS(D9+5.15))*D13/1000</f>
        <v>0.38934455560856757</v>
      </c>
      <c r="E16" s="16">
        <f t="shared" si="0"/>
        <v>1.8112948210918218</v>
      </c>
      <c r="F16" s="16">
        <f>F6*SIN(RADIANS(F9+5.15))*F13/1000</f>
        <v>4.4750917512529496</v>
      </c>
      <c r="G16" s="16">
        <f t="shared" si="0"/>
        <v>5.4446222516176634</v>
      </c>
      <c r="H16" s="16">
        <f t="shared" si="0"/>
        <v>5.9469453841091626</v>
      </c>
      <c r="I16" s="16">
        <f t="shared" si="0"/>
        <v>5.6590559428960212</v>
      </c>
      <c r="J16" s="16">
        <f t="shared" si="0"/>
        <v>6.0927652115792634</v>
      </c>
      <c r="K16" s="16">
        <f t="shared" si="0"/>
        <v>6.0976142089621366</v>
      </c>
      <c r="L16" s="16">
        <f t="shared" si="0"/>
        <v>6.3279415846485803</v>
      </c>
      <c r="M16" s="16">
        <f t="shared" si="0"/>
        <v>7.0095037627925798</v>
      </c>
      <c r="N16" s="16">
        <f t="shared" si="0"/>
        <v>7.5711771242618884</v>
      </c>
      <c r="O16" s="16">
        <f t="shared" si="0"/>
        <v>7.937808715762241</v>
      </c>
      <c r="P16" s="16">
        <f t="shared" si="0"/>
        <v>8.3306919291859725</v>
      </c>
      <c r="Q16" s="16">
        <f t="shared" si="0"/>
        <v>9.369972199445602</v>
      </c>
      <c r="R16" s="16">
        <f t="shared" si="0"/>
        <v>7.0892341737595572</v>
      </c>
      <c r="S16" s="16">
        <f t="shared" si="0"/>
        <v>5.4793670426458965</v>
      </c>
      <c r="T16" s="16">
        <f t="shared" si="0"/>
        <v>4.957246848957868</v>
      </c>
      <c r="U16" s="16">
        <f t="shared" si="0"/>
        <v>4.8935172428682936</v>
      </c>
      <c r="V16" s="16">
        <f t="shared" si="0"/>
        <v>4.5504713609212226</v>
      </c>
      <c r="W16" s="16">
        <f t="shared" si="0"/>
        <v>0.10037237370560359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15" x14ac:dyDescent="0.35">
      <c r="A17" s="3"/>
      <c r="B17" s="3"/>
      <c r="N17" s="3"/>
      <c r="O17" s="3"/>
    </row>
    <row r="18" spans="1:15" x14ac:dyDescent="0.35">
      <c r="A18" s="3"/>
      <c r="B18" t="s">
        <v>72</v>
      </c>
    </row>
    <row r="19" spans="1:15" x14ac:dyDescent="0.35">
      <c r="A19" s="3"/>
      <c r="B19" s="3"/>
    </row>
    <row r="20" spans="1:15" x14ac:dyDescent="0.35">
      <c r="A20" s="3"/>
      <c r="B20" s="3"/>
    </row>
    <row r="21" spans="1:15" x14ac:dyDescent="0.35">
      <c r="A21" s="3"/>
      <c r="B21" s="21" t="s">
        <v>52</v>
      </c>
    </row>
    <row r="22" spans="1:15" x14ac:dyDescent="0.35">
      <c r="A22" s="3"/>
      <c r="B22" s="3"/>
    </row>
    <row r="23" spans="1:15" x14ac:dyDescent="0.35">
      <c r="A23" s="3"/>
      <c r="B23" s="3"/>
    </row>
    <row r="24" spans="1:15" x14ac:dyDescent="0.35">
      <c r="A24" s="3"/>
      <c r="B24" s="3"/>
    </row>
    <row r="25" spans="1:15" x14ac:dyDescent="0.35">
      <c r="A25" s="3"/>
      <c r="B25" s="3"/>
    </row>
    <row r="26" spans="1:15" x14ac:dyDescent="0.35">
      <c r="A26" s="3"/>
      <c r="B26" s="3"/>
    </row>
    <row r="27" spans="1:15" x14ac:dyDescent="0.35">
      <c r="A27" s="3"/>
      <c r="B27" s="29" t="s">
        <v>69</v>
      </c>
    </row>
    <row r="28" spans="1:15" x14ac:dyDescent="0.35">
      <c r="A28" s="3"/>
      <c r="B28" s="3"/>
    </row>
    <row r="29" spans="1:15" x14ac:dyDescent="0.35">
      <c r="A29" s="3"/>
      <c r="B29" s="3"/>
    </row>
    <row r="30" spans="1:15" x14ac:dyDescent="0.35">
      <c r="A30" s="3"/>
      <c r="B30" s="3"/>
    </row>
    <row r="31" spans="1:15" x14ac:dyDescent="0.35">
      <c r="A31" s="3"/>
      <c r="B31" s="3"/>
    </row>
    <row r="32" spans="1:15" x14ac:dyDescent="0.35">
      <c r="A32" s="3"/>
      <c r="B32" s="3"/>
    </row>
    <row r="33" spans="1:2" x14ac:dyDescent="0.35">
      <c r="A33" s="3"/>
      <c r="B33" s="3"/>
    </row>
    <row r="34" spans="1:2" x14ac:dyDescent="0.35">
      <c r="A34" s="3"/>
      <c r="B34" s="3"/>
    </row>
    <row r="35" spans="1:2" x14ac:dyDescent="0.35">
      <c r="A35" s="3"/>
      <c r="B35" s="3"/>
    </row>
    <row r="36" spans="1:2" x14ac:dyDescent="0.35">
      <c r="A36" s="3"/>
      <c r="B36" s="3"/>
    </row>
  </sheetData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15"/>
  <sheetViews>
    <sheetView workbookViewId="0">
      <selection activeCell="D13" sqref="D13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485</v>
      </c>
      <c r="F2" t="s">
        <v>18</v>
      </c>
    </row>
    <row r="3" spans="1:36" x14ac:dyDescent="0.35">
      <c r="B3" s="3" t="s">
        <v>14</v>
      </c>
      <c r="C3">
        <f>C2-C2*0.17</f>
        <v>402.55</v>
      </c>
    </row>
    <row r="4" spans="1:36" x14ac:dyDescent="0.35">
      <c r="B4" s="3" t="s">
        <v>17</v>
      </c>
      <c r="C4">
        <v>398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5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5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5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5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E22" sqref="E2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485</v>
      </c>
      <c r="F2" t="s">
        <v>21</v>
      </c>
    </row>
    <row r="3" spans="1:36" x14ac:dyDescent="0.35">
      <c r="B3" s="3" t="s">
        <v>14</v>
      </c>
      <c r="C3">
        <f>C2-C2*0.17</f>
        <v>402.55</v>
      </c>
      <c r="F3" t="s">
        <v>41</v>
      </c>
    </row>
    <row r="4" spans="1:36" x14ac:dyDescent="0.35">
      <c r="B4" s="3" t="s">
        <v>17</v>
      </c>
      <c r="C4">
        <v>398</v>
      </c>
      <c r="L4" t="s">
        <v>16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5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5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5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5">
      <c r="L16" t="s">
        <v>19</v>
      </c>
    </row>
    <row r="29" spans="18:18" x14ac:dyDescent="0.35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B22" sqref="B2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457</v>
      </c>
      <c r="F2" t="s">
        <v>18</v>
      </c>
    </row>
    <row r="3" spans="1:36" x14ac:dyDescent="0.35">
      <c r="B3" s="3" t="s">
        <v>14</v>
      </c>
      <c r="C3">
        <f>C2-C2*0.17</f>
        <v>379.31</v>
      </c>
    </row>
    <row r="4" spans="1:36" x14ac:dyDescent="0.35">
      <c r="B4" s="3" t="s">
        <v>17</v>
      </c>
      <c r="C4">
        <v>384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5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5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5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5">
      <c r="J18">
        <f>1-348/457</f>
        <v>0.23851203501094087</v>
      </c>
    </row>
    <row r="29" spans="10:18" x14ac:dyDescent="0.35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26E4-CFF3-41E2-8721-B0918FFC9B0E}">
  <dimension ref="A1:AK36"/>
  <sheetViews>
    <sheetView tabSelected="1" topLeftCell="B1" workbookViewId="0">
      <selection activeCell="K15" sqref="K15"/>
    </sheetView>
  </sheetViews>
  <sheetFormatPr defaultRowHeight="14.5" x14ac:dyDescent="0.35"/>
  <cols>
    <col min="2" max="2" width="39.81640625" bestFit="1" customWidth="1"/>
    <col min="13" max="13" width="19.453125" bestFit="1" customWidth="1"/>
    <col min="14" max="14" width="18.54296875" bestFit="1" customWidth="1"/>
    <col min="16" max="16" width="18.08984375" bestFit="1" customWidth="1"/>
    <col min="17" max="17" width="17.26953125" bestFit="1" customWidth="1"/>
  </cols>
  <sheetData>
    <row r="1" spans="1:37" x14ac:dyDescent="0.35">
      <c r="A1" s="3" t="s">
        <v>79</v>
      </c>
      <c r="B1" s="3"/>
    </row>
    <row r="2" spans="1:37" x14ac:dyDescent="0.35">
      <c r="A2" s="3" t="s">
        <v>71</v>
      </c>
      <c r="B2" s="3"/>
      <c r="C2">
        <v>479</v>
      </c>
      <c r="E2" t="s">
        <v>80</v>
      </c>
    </row>
    <row r="3" spans="1:37" x14ac:dyDescent="0.35">
      <c r="A3" s="3" t="s">
        <v>70</v>
      </c>
      <c r="B3" s="3"/>
      <c r="C3">
        <v>413</v>
      </c>
      <c r="D3">
        <f>(C3/C2)</f>
        <v>0.86221294363256784</v>
      </c>
      <c r="E3">
        <f>1-D3</f>
        <v>0.13778705636743216</v>
      </c>
    </row>
    <row r="4" spans="1:37" x14ac:dyDescent="0.35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5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5">
      <c r="A6" s="3"/>
      <c r="B6" s="5" t="s">
        <v>1</v>
      </c>
      <c r="C6" s="16">
        <v>7.6539999999999999</v>
      </c>
      <c r="D6">
        <v>16.346</v>
      </c>
      <c r="E6">
        <v>28.263000000000002</v>
      </c>
      <c r="F6">
        <v>41.6</v>
      </c>
      <c r="G6">
        <v>53.704999999999998</v>
      </c>
      <c r="H6">
        <v>59.472000000000001</v>
      </c>
      <c r="I6">
        <v>63.2</v>
      </c>
      <c r="J6">
        <v>65.655000000000001</v>
      </c>
    </row>
    <row r="7" spans="1:37" x14ac:dyDescent="0.35">
      <c r="A7" s="3"/>
      <c r="B7" s="6" t="s">
        <v>2</v>
      </c>
      <c r="C7" s="16">
        <v>-68.718999999999994</v>
      </c>
      <c r="D7">
        <v>-61.898000000000003</v>
      </c>
      <c r="E7">
        <v>-54.359000000000002</v>
      </c>
      <c r="F7">
        <v>-46.460999999999999</v>
      </c>
      <c r="G7">
        <v>-38.204000000000001</v>
      </c>
      <c r="H7">
        <v>-32.100999999999999</v>
      </c>
      <c r="I7">
        <v>-27.8</v>
      </c>
      <c r="J7">
        <v>-24.202999999999999</v>
      </c>
    </row>
    <row r="8" spans="1:37" x14ac:dyDescent="0.35">
      <c r="A8" s="3"/>
      <c r="B8" s="4" t="s">
        <v>47</v>
      </c>
      <c r="C8" s="16">
        <v>621.33600000000001</v>
      </c>
      <c r="D8">
        <v>623.60699999999997</v>
      </c>
      <c r="E8">
        <v>622.85</v>
      </c>
      <c r="F8">
        <v>622.85</v>
      </c>
      <c r="G8">
        <v>621.33600000000001</v>
      </c>
      <c r="H8">
        <v>621.33600000000001</v>
      </c>
      <c r="I8">
        <v>623.60699999999997</v>
      </c>
      <c r="J8">
        <v>622.85</v>
      </c>
    </row>
    <row r="9" spans="1:37" x14ac:dyDescent="0.35">
      <c r="A9" s="11" t="s">
        <v>7</v>
      </c>
      <c r="B9" s="7" t="s">
        <v>34</v>
      </c>
      <c r="C9" s="15">
        <v>82</v>
      </c>
      <c r="D9" s="1">
        <v>86</v>
      </c>
      <c r="E9" s="1">
        <v>84.5</v>
      </c>
      <c r="F9" s="1">
        <v>98.5</v>
      </c>
      <c r="G9" s="1">
        <v>87</v>
      </c>
      <c r="H9" s="1">
        <v>86</v>
      </c>
      <c r="I9" s="1">
        <v>85</v>
      </c>
      <c r="J9" s="1">
        <v>83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5">
      <c r="A10" s="12"/>
      <c r="B10" s="8" t="s">
        <v>3</v>
      </c>
      <c r="C10" s="16">
        <v>408</v>
      </c>
      <c r="D10" s="33">
        <v>410</v>
      </c>
      <c r="E10" s="33">
        <v>421</v>
      </c>
      <c r="F10" s="33">
        <v>427</v>
      </c>
      <c r="G10" s="33">
        <v>437</v>
      </c>
      <c r="H10" s="33">
        <v>441</v>
      </c>
      <c r="I10" s="33">
        <v>444</v>
      </c>
      <c r="J10" s="33">
        <v>447</v>
      </c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</row>
    <row r="11" spans="1:37" x14ac:dyDescent="0.35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5">
      <c r="A12" s="12"/>
      <c r="B12" s="18" t="s">
        <v>33</v>
      </c>
      <c r="C12" s="16"/>
    </row>
    <row r="13" spans="1:37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5">
      <c r="A14" s="12"/>
      <c r="B14" s="8" t="s">
        <v>11</v>
      </c>
      <c r="C14" s="16">
        <v>62</v>
      </c>
      <c r="D14">
        <v>71</v>
      </c>
      <c r="E14">
        <v>72</v>
      </c>
      <c r="F14">
        <v>82</v>
      </c>
      <c r="G14">
        <v>82</v>
      </c>
      <c r="H14">
        <v>80</v>
      </c>
      <c r="I14">
        <v>79</v>
      </c>
      <c r="J14">
        <v>77</v>
      </c>
    </row>
    <row r="15" spans="1:37" x14ac:dyDescent="0.35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5">
      <c r="A16" s="3"/>
      <c r="B16" s="5" t="s">
        <v>6</v>
      </c>
      <c r="C16" s="16">
        <f>-C6*SIN(RADIANS(C9+5.15))*C13/1000</f>
        <v>-1.9089163300292105</v>
      </c>
      <c r="D16" s="16">
        <f t="shared" ref="D16:AE16" si="0">-D6*SIN(RADIANS(D9+5.15))*D13/1000</f>
        <v>-4.0809375058192954</v>
      </c>
      <c r="E16" s="16">
        <f t="shared" si="0"/>
        <v>-7.0574220518637798</v>
      </c>
      <c r="F16" s="16">
        <f t="shared" si="0"/>
        <v>-10.09453321766197</v>
      </c>
      <c r="G16" s="16">
        <f t="shared" si="0"/>
        <v>-13.401234911810583</v>
      </c>
      <c r="H16" s="16">
        <f t="shared" si="0"/>
        <v>-14.847761858930939</v>
      </c>
      <c r="I16" s="16">
        <f t="shared" si="0"/>
        <v>-15.781617917093591</v>
      </c>
      <c r="J16" s="16">
        <f t="shared" si="0"/>
        <v>-16.386164614410578</v>
      </c>
      <c r="K16" s="16">
        <f t="shared" si="0"/>
        <v>0</v>
      </c>
      <c r="L16" s="16">
        <f t="shared" si="0"/>
        <v>0</v>
      </c>
      <c r="M16" s="16">
        <f t="shared" si="0"/>
        <v>0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15" x14ac:dyDescent="0.35">
      <c r="A17" s="3"/>
      <c r="B17" s="3"/>
      <c r="N17" s="3"/>
      <c r="O17" s="3"/>
    </row>
    <row r="18" spans="1:15" x14ac:dyDescent="0.35">
      <c r="A18" s="3"/>
      <c r="B18" t="s">
        <v>72</v>
      </c>
    </row>
    <row r="19" spans="1:15" x14ac:dyDescent="0.35">
      <c r="A19" s="3"/>
      <c r="B19" s="3"/>
    </row>
    <row r="20" spans="1:15" x14ac:dyDescent="0.35">
      <c r="A20" s="3"/>
      <c r="B20" s="3"/>
    </row>
    <row r="21" spans="1:15" x14ac:dyDescent="0.35">
      <c r="A21" s="3"/>
      <c r="B21" s="21" t="s">
        <v>52</v>
      </c>
    </row>
    <row r="22" spans="1:15" x14ac:dyDescent="0.35">
      <c r="A22" s="3"/>
      <c r="B22" s="3"/>
    </row>
    <row r="23" spans="1:15" x14ac:dyDescent="0.35">
      <c r="A23" s="3"/>
      <c r="B23" s="3"/>
    </row>
    <row r="24" spans="1:15" x14ac:dyDescent="0.35">
      <c r="A24" s="3"/>
      <c r="B24" s="3"/>
    </row>
    <row r="25" spans="1:15" x14ac:dyDescent="0.35">
      <c r="A25" s="3"/>
      <c r="B25" s="3"/>
    </row>
    <row r="26" spans="1:15" x14ac:dyDescent="0.35">
      <c r="A26" s="3"/>
      <c r="B26" s="3"/>
    </row>
    <row r="27" spans="1:15" x14ac:dyDescent="0.35">
      <c r="A27" s="3"/>
      <c r="B27" s="29" t="s">
        <v>69</v>
      </c>
    </row>
    <row r="28" spans="1:15" x14ac:dyDescent="0.35">
      <c r="A28" s="3"/>
      <c r="B28" s="3"/>
    </row>
    <row r="29" spans="1:15" x14ac:dyDescent="0.35">
      <c r="A29" s="3"/>
      <c r="B29" s="3"/>
    </row>
    <row r="30" spans="1:15" x14ac:dyDescent="0.35">
      <c r="A30" s="3"/>
      <c r="B30" s="3"/>
    </row>
    <row r="31" spans="1:15" x14ac:dyDescent="0.35">
      <c r="A31" s="3"/>
      <c r="B31" s="3"/>
    </row>
    <row r="32" spans="1:15" x14ac:dyDescent="0.35">
      <c r="A32" s="3"/>
      <c r="B32" s="3"/>
    </row>
    <row r="33" spans="1:2" x14ac:dyDescent="0.35">
      <c r="A33" s="3"/>
      <c r="B33" s="3"/>
    </row>
    <row r="34" spans="1:2" x14ac:dyDescent="0.35">
      <c r="A34" s="3"/>
      <c r="B34" s="3"/>
    </row>
    <row r="35" spans="1:2" x14ac:dyDescent="0.35">
      <c r="A35" s="3"/>
      <c r="B35" s="3"/>
    </row>
    <row r="36" spans="1:2" x14ac:dyDescent="0.35">
      <c r="A36" s="3"/>
      <c r="B36" s="3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ExtTest10mm_12</vt:lpstr>
      <vt:lpstr>FlxTest10mm_1</vt:lpstr>
      <vt:lpstr>FlxTest10mm_2</vt:lpstr>
      <vt:lpstr>FlxTest10mm_3</vt:lpstr>
      <vt:lpstr>FlxTest10mm_4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Mohammad Elzein</cp:lastModifiedBy>
  <dcterms:created xsi:type="dcterms:W3CDTF">2021-05-24T00:23:13Z</dcterms:created>
  <dcterms:modified xsi:type="dcterms:W3CDTF">2026-07-22T07:07:11Z</dcterms:modified>
</cp:coreProperties>
</file>