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9CC3B179-5D81-457C-B34A-1F9A34C29E8B}" xr6:coauthVersionLast="47" xr6:coauthVersionMax="47" xr10:uidLastSave="{00000000-0000-0000-0000-000000000000}"/>
  <bookViews>
    <workbookView xWindow="11910" yWindow="-16320" windowWidth="29040" windowHeight="15720" firstSheet="12" activeTab="18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5" r:id="rId13"/>
    <sheet name="FlxTest10mm_1" sheetId="7" r:id="rId14"/>
    <sheet name="FlxTest10mm_2" sheetId="8" r:id="rId15"/>
    <sheet name="FlxTest10mm_3" sheetId="15" r:id="rId16"/>
    <sheet name="FlxTest10mm_4" sheetId="23" r:id="rId17"/>
    <sheet name="FlxTest10mm_5" sheetId="24" r:id="rId18"/>
    <sheet name="FlxTest10mm_6" sheetId="26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" i="26" l="1"/>
  <c r="M25" i="26" l="1"/>
  <c r="N22" i="26"/>
  <c r="M22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D3" i="26"/>
  <c r="E3" i="26" s="1"/>
  <c r="N22" i="14"/>
  <c r="M22" i="14"/>
  <c r="N22" i="16"/>
  <c r="P22" i="18"/>
  <c r="P22" i="19"/>
  <c r="Q22" i="20"/>
  <c r="R22" i="21"/>
  <c r="R25" i="22"/>
  <c r="N22" i="24"/>
  <c r="M22" i="24"/>
  <c r="O22" i="23"/>
  <c r="N22" i="23"/>
  <c r="N22" i="15"/>
  <c r="M22" i="15"/>
  <c r="N22" i="8"/>
  <c r="M22" i="8"/>
  <c r="N22" i="7"/>
  <c r="M22" i="7"/>
  <c r="R25" i="25"/>
  <c r="O22" i="12"/>
  <c r="M22" i="13"/>
  <c r="M22" i="11"/>
  <c r="S22" i="10"/>
  <c r="AB22" i="9"/>
  <c r="L22" i="13" l="1"/>
  <c r="M22" i="16"/>
  <c r="L22" i="16"/>
  <c r="O22" i="18"/>
  <c r="N22" i="18"/>
  <c r="N22" i="12"/>
  <c r="K22" i="11"/>
  <c r="Z22" i="9"/>
  <c r="Q22" i="10"/>
  <c r="O22" i="19"/>
  <c r="P22" i="20"/>
  <c r="Q22" i="21"/>
  <c r="Q25" i="22"/>
  <c r="Q25" i="25"/>
  <c r="P25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L14" i="25"/>
  <c r="D3" i="25"/>
  <c r="E3" i="25" s="1"/>
  <c r="M25" i="24"/>
  <c r="M22" i="23"/>
  <c r="N22" i="19"/>
  <c r="N22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tc={EDD4A2EB-AC41-41F5-AEBA-BA83D6D066BB}</author>
    <author>tc={E30E01B8-EB61-46FD-9E73-DB8665781EAE}</author>
    <author>tc={FBA43358-59F0-4FFB-BDC7-3AEDE0ADFC53}</author>
    <author>tc={29559212-EFFD-4F4F-810E-B5C644E22194}</author>
    <author>tc={09557C74-D39F-48D9-9B0F-33C529B18E89}</author>
  </authors>
  <commentList>
    <comment ref="C2" authorId="0" shapeId="0" xr:uid="{EDD4A2EB-AC41-41F5-AEBA-BA83D6D066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465
</t>
      </text>
    </comment>
    <comment ref="C3" authorId="1" shapeId="0" xr:uid="{E30E01B8-EB61-46FD-9E73-DB8665781E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401</t>
      </text>
    </comment>
    <comment ref="D3" authorId="2" shapeId="0" xr:uid="{FBA43358-59F0-4FFB-BDC7-3AEDE0ADFC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29559212-EFFD-4F4F-810E-B5C644E22194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09557C74-D39F-48D9-9B0F-33C529B18E89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tc={F2916077-4F60-4815-AACB-36F540965802}</author>
    <author>tc={D38AB9F1-0008-44E2-9AA2-442694BB58A1}</author>
    <author>tc={8BAEE42B-9536-417D-B6B2-DB5320F80125}</author>
    <author>tc={D29CCFA0-C50E-48A0-9F07-9CBB4F001241}</author>
    <author>tc={E616D17E-2271-4A96-95EA-0FDB020E98C3}</author>
  </authors>
  <commentList>
    <comment ref="C2" authorId="0" shapeId="0" xr:uid="{F2916077-4F60-4815-AACB-36F5409658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D38AB9F1-0008-44E2-9AA2-442694BB58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8BAEE42B-9536-417D-B6B2-DB5320F801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D29CCFA0-C50E-48A0-9F07-9CBB4F001241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E616D17E-2271-4A96-95EA-0FDB020E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sharedStrings.xml><?xml version="1.0" encoding="utf-8"?>
<sst xmlns="http://schemas.openxmlformats.org/spreadsheetml/2006/main" count="486" uniqueCount="108">
  <si>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</si>
  <si>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</si>
  <si>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</si>
  <si>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</si>
  <si>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</si>
  <si>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</si>
  <si>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</si>
  <si>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</si>
  <si>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</si>
  <si>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</si>
  <si>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</si>
  <si>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</si>
  <si>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</si>
  <si>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</si>
  <si>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</si>
  <si>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</si>
  <si>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</si>
  <si>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</si>
  <si>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</si>
  <si>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</si>
  <si>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</si>
  <si>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</si>
  <si>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</si>
  <si>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</si>
  <si>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</si>
  <si>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</si>
  <si>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</si>
  <si>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</si>
  <si>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</si>
  <si>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</si>
  <si>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</si>
  <si>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</si>
  <si>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</si>
  <si>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</si>
  <si>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</si>
  <si>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</si>
  <si>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</si>
  <si>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</si>
  <si>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</si>
  <si>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</si>
  <si>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</si>
  <si>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</si>
  <si>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</si>
  <si>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</si>
  <si>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</si>
  <si>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</si>
  <si>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</si>
  <si>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</si>
  <si>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</si>
  <si>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</si>
  <si>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</si>
  <si>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</si>
  <si>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</si>
  <si>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</si>
  <si>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</si>
  <si>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</si>
  <si>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</si>
  <si>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</si>
  <si>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</si>
  <si>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</si>
  <si>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</si>
  <si>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</si>
  <si>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</si>
  <si>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</si>
  <si>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</si>
  <si>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</si>
  <si>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</si>
  <si>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</si>
  <si>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</si>
  <si>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</si>
  <si>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</si>
  <si>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</si>
  <si>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</si>
  <si>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</si>
  <si>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</si>
  <si>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</si>
  <si>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</si>
  <si>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</si>
  <si>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</si>
  <si>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</si>
  <si>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</si>
  <si>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</si>
  <si>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</si>
  <si>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</si>
  <si>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</si>
  <si>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</si>
  <si>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</si>
  <si>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</si>
  <si>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</si>
  <si>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</si>
  <si>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</si>
  <si>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</si>
  <si>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</si>
  <si>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</si>
  <si>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</si>
  <si>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</si>
  <si>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</si>
  <si>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Ext Test 13</t>
  </si>
  <si>
    <t>* Pretensioned to 0.935 N</t>
  </si>
  <si>
    <t>* Pretensioned to 0.975 N</t>
  </si>
  <si>
    <t>Ext Test 12</t>
  </si>
  <si>
    <t>min length test</t>
  </si>
  <si>
    <t>min length (test)</t>
  </si>
  <si>
    <t>max length test</t>
  </si>
  <si>
    <t>max length (test)</t>
  </si>
  <si>
    <t>Flex test 6</t>
  </si>
  <si>
    <t>*pre-inflation length 462</t>
  </si>
  <si>
    <t>*pretension 20.9 N relaxing to 19 N before inflation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</si>
</sst>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1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0" fillId="0" borderId="0" xfId="0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ExtTest10mm_13!$C$7:$R$7</c:f>
              <c:numCache>
                <c:formatCode>General</c:formatCode>
                <c:ptCount val="16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</c:numCache>
            </c:numRef>
          </c:xVal>
          <c:yVal>
            <c:numRef>
              <c:f>ExtTest10mm_13!$C$16:$AA$16</c:f>
              <c:numCache>
                <c:formatCode>General</c:formatCode>
                <c:ptCount val="25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81-4BFF-B721-CA615FBF0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ExtTest10mm_13!$C$7:$AE$7</c:f>
              <c:numCache>
                <c:formatCode>General</c:formatCode>
                <c:ptCount val="29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  <c:pt idx="16">
                  <c:v>-84.156000000000006</c:v>
                </c:pt>
                <c:pt idx="17">
                  <c:v>-90.259</c:v>
                </c:pt>
                <c:pt idx="18">
                  <c:v>-75.180999999999997</c:v>
                </c:pt>
                <c:pt idx="19">
                  <c:v>-65.846999999999994</c:v>
                </c:pt>
                <c:pt idx="20">
                  <c:v>-51.487000000000002</c:v>
                </c:pt>
                <c:pt idx="21">
                  <c:v>-33.896000000000001</c:v>
                </c:pt>
                <c:pt idx="22">
                  <c:v>-17.023</c:v>
                </c:pt>
                <c:pt idx="23">
                  <c:v>-4.0990000000000002</c:v>
                </c:pt>
                <c:pt idx="24">
                  <c:v>6.3120000000000003</c:v>
                </c:pt>
                <c:pt idx="25">
                  <c:v>16.004999999999999</c:v>
                </c:pt>
              </c:numCache>
            </c:numRef>
          </c:xVal>
          <c:yVal>
            <c:numRef>
              <c:f>ExtTest10mm_13!$C$16:$AB$16</c:f>
              <c:numCache>
                <c:formatCode>General</c:formatCode>
                <c:ptCount val="26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  <c:pt idx="25">
                  <c:v>0.23872194191046633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4-4DF4-A620-B2C7DC507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0034120734908135E-2"/>
                  <c:y val="-0.3266434417419499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FlxTest10mm_6!$C$7:$AE$7</c:f>
              <c:numCache>
                <c:formatCode>General</c:formatCode>
                <c:ptCount val="29"/>
                <c:pt idx="0">
                  <c:v>-86.5</c:v>
                </c:pt>
                <c:pt idx="1">
                  <c:v>-78.7</c:v>
                </c:pt>
                <c:pt idx="2">
                  <c:v>-71</c:v>
                </c:pt>
                <c:pt idx="3">
                  <c:v>-66</c:v>
                </c:pt>
                <c:pt idx="4">
                  <c:v>-59.7</c:v>
                </c:pt>
                <c:pt idx="5">
                  <c:v>-53.6</c:v>
                </c:pt>
                <c:pt idx="6">
                  <c:v>-45.743000000000002</c:v>
                </c:pt>
                <c:pt idx="7">
                  <c:v>-40.700000000000003</c:v>
                </c:pt>
                <c:pt idx="8">
                  <c:v>-33.9</c:v>
                </c:pt>
                <c:pt idx="9">
                  <c:v>-25.28</c:v>
                </c:pt>
                <c:pt idx="10">
                  <c:v>-32</c:v>
                </c:pt>
                <c:pt idx="11">
                  <c:v>-40.5</c:v>
                </c:pt>
                <c:pt idx="12">
                  <c:v>-44.3</c:v>
                </c:pt>
                <c:pt idx="13">
                  <c:v>-50.7</c:v>
                </c:pt>
                <c:pt idx="14">
                  <c:v>-56.5</c:v>
                </c:pt>
                <c:pt idx="15">
                  <c:v>-66.5</c:v>
                </c:pt>
                <c:pt idx="16">
                  <c:v>-71.900000000000006</c:v>
                </c:pt>
                <c:pt idx="17">
                  <c:v>-76.257999999999996</c:v>
                </c:pt>
                <c:pt idx="18">
                  <c:v>-80.900000000000006</c:v>
                </c:pt>
                <c:pt idx="19">
                  <c:v>-21.331</c:v>
                </c:pt>
              </c:numCache>
            </c:numRef>
          </c:xVal>
          <c:yVal>
            <c:numRef>
              <c:f>FlxTest10mm_6!$C$16:$X$16</c:f>
              <c:numCache>
                <c:formatCode>General</c:formatCode>
                <c:ptCount val="22"/>
                <c:pt idx="0">
                  <c:v>-0.77403468088936644</c:v>
                </c:pt>
                <c:pt idx="1">
                  <c:v>-2.1699751461256667</c:v>
                </c:pt>
                <c:pt idx="2">
                  <c:v>-4.1634500137164219</c:v>
                </c:pt>
                <c:pt idx="3">
                  <c:v>-6.0859073063754314</c:v>
                </c:pt>
                <c:pt idx="4">
                  <c:v>-8.3053257787199364</c:v>
                </c:pt>
                <c:pt idx="5">
                  <c:v>-11.529780814291216</c:v>
                </c:pt>
                <c:pt idx="6">
                  <c:v>-14.646218214568991</c:v>
                </c:pt>
                <c:pt idx="7">
                  <c:v>-16.11181033876116</c:v>
                </c:pt>
                <c:pt idx="8">
                  <c:v>-17.67596442949068</c:v>
                </c:pt>
                <c:pt idx="9">
                  <c:v>-18.688151379143374</c:v>
                </c:pt>
                <c:pt idx="10">
                  <c:v>-17.008511474983347</c:v>
                </c:pt>
                <c:pt idx="11">
                  <c:v>-14.571619480029591</c:v>
                </c:pt>
                <c:pt idx="12">
                  <c:v>-13.263206031719381</c:v>
                </c:pt>
                <c:pt idx="13">
                  <c:v>-10.450799841685679</c:v>
                </c:pt>
                <c:pt idx="14">
                  <c:v>-7.7085359024047326</c:v>
                </c:pt>
                <c:pt idx="15">
                  <c:v>-4.0341781682833195</c:v>
                </c:pt>
                <c:pt idx="16">
                  <c:v>-2.735286933111357</c:v>
                </c:pt>
                <c:pt idx="17">
                  <c:v>-1.815235873792082</c:v>
                </c:pt>
                <c:pt idx="18">
                  <c:v>-1.1189810180910094</c:v>
                </c:pt>
                <c:pt idx="19">
                  <c:v>-18.534438585205493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87-4579-870C-E12B422BB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363643</xdr:colOff>
      <xdr:row>17</xdr:row>
      <xdr:rowOff>86042</xdr:rowOff>
    </xdr:from>
    <xdr:to>
      <xdr:col>8</xdr:col>
      <xdr:colOff>868468</xdr:colOff>
      <xdr:row>32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16</xdr:row>
      <xdr:rowOff>9525</xdr:rowOff>
    </xdr:from>
    <xdr:to>
      <xdr:col>9</xdr:col>
      <xdr:colOff>643890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517207</xdr:colOff>
      <xdr:row>18</xdr:row>
      <xdr:rowOff>15240</xdr:rowOff>
    </xdr:from>
    <xdr:to>
      <xdr:col>10</xdr:col>
      <xdr:colOff>111442</xdr:colOff>
      <xdr:row>32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677694</xdr:colOff>
      <xdr:row>17</xdr:row>
      <xdr:rowOff>60169</xdr:rowOff>
    </xdr:from>
    <xdr:to>
      <xdr:col>7</xdr:col>
      <xdr:colOff>702891</xdr:colOff>
      <xdr:row>31</xdr:row>
      <xdr:rowOff>136369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85E2B1-AD7C-4F3D-8ACA-E05BF9DD0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34F374-DD15-4C88-9542-E5D6B2DBF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672253</xdr:colOff>
      <xdr:row>19</xdr:row>
      <xdr:rowOff>68897</xdr:rowOff>
    </xdr:from>
    <xdr:to>
      <xdr:col>10</xdr:col>
      <xdr:colOff>496993</xdr:colOff>
      <xdr:row>34</xdr:row>
      <xdr:rowOff>97472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390525</xdr:colOff>
      <xdr:row>16</xdr:row>
      <xdr:rowOff>112712</xdr:rowOff>
    </xdr:from>
    <xdr:to>
      <xdr:col>11</xdr:col>
      <xdr:colOff>277918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B8A4D0-7025-4D69-80BF-1D6FF57C0C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EDD4A2EB-AC41-41F5-AEBA-BA83D6D066BB}">
    <text>Recheck after test</text>
  </threadedComment>
  <threadedComment ref="C2" dT="2026-08-15T11:49:42.01" personId="{10A700E7-E0AC-4B04-B751-E14560120F23}" id="{9CFDF14D-575A-454E-B7D7-DA4387652C71}" parentId="{EDD4A2EB-AC41-41F5-AEBA-BA83D6D066BB}">
    <text xml:space="preserve">Moe had it originally at 465
</text>
  </threadedComment>
  <threadedComment ref="C3" dT="2026-07-18T06:57:43.54" personId="{10A700E7-E0AC-4B04-B751-E14560120F23}" id="{E30E01B8-EB61-46FD-9E73-DB8665781EAE}">
    <text>Recheck after test</text>
  </threadedComment>
  <threadedComment ref="C3" dT="2026-08-15T11:49:54.82" personId="{10A700E7-E0AC-4B04-B751-E14560120F23}" id="{5A4E2F9F-8889-44AD-82E8-09E38A749055}" parentId="{E30E01B8-EB61-46FD-9E73-DB8665781EAE}">
    <text>Moe had it originally at 401</text>
  </threadedComment>
  <threadedComment ref="D3" dT="2026-07-17T08:55:32.82" personId="{10A700E7-E0AC-4B04-B751-E14560120F23}" id="{FBA43358-59F0-4FFB-BDC7-3AEDE0ADFC53}">
    <text>Max contracted length normalized by resting length</text>
  </threadedComment>
  <threadedComment ref="E3" dT="2026-07-17T08:54:37.64" personId="{10A700E7-E0AC-4B04-B751-E14560120F23}" id="{29559212-EFFD-4F4F-810E-B5C644E22194}">
    <text>Kmax</text>
  </threadedComment>
  <threadedComment ref="C4" dT="2026-07-18T06:57:17.11" personId="{10A700E7-E0AC-4B04-B751-E14560120F23}" id="{09557C74-D39F-48D9-9B0F-33C529B18E89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2916077-4F60-4815-AACB-36F540965802}">
    <text>Recheck after test</text>
  </threadedComment>
  <threadedComment ref="C3" dT="2026-07-18T06:57:43.54" personId="{10A700E7-E0AC-4B04-B751-E14560120F23}" id="{D38AB9F1-0008-44E2-9AA2-442694BB58A1}">
    <text>Recheck after test</text>
  </threadedComment>
  <threadedComment ref="D3" dT="2026-07-17T08:55:32.82" personId="{10A700E7-E0AC-4B04-B751-E14560120F23}" id="{8BAEE42B-9536-417D-B6B2-DB5320F80125}">
    <text>Max contracted length normalized by resting length</text>
  </threadedComment>
  <threadedComment ref="E3" dT="2026-07-17T08:54:37.64" personId="{10A700E7-E0AC-4B04-B751-E14560120F23}" id="{D29CCFA0-C50E-48A0-9F07-9CBB4F001241}">
    <text>Kmax</text>
  </threadedComment>
  <threadedComment ref="C4" dT="2026-07-18T06:57:17.11" personId="{10A700E7-E0AC-4B04-B751-E14560120F23}" id="{E616D17E-2271-4A96-95EA-0FDB020E98C3}">
    <text>Initially measured 30 mm but noticed it was actually 35 mm around data reading 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8.xml"/><Relationship Id="rId4" Type="http://schemas.microsoft.com/office/2017/10/relationships/threadedComment" Target="../threadedComments/threadedComment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9.xml"/><Relationship Id="rId4" Type="http://schemas.microsoft.com/office/2017/10/relationships/threadedComment" Target="../threadedComments/threadedComment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C1" workbookViewId="0">
      <selection activeCell="AB22" sqref="A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8" x14ac:dyDescent="0.3">
      <c r="C17" t="s">
        <v>20</v>
      </c>
    </row>
    <row r="18" spans="3:28" x14ac:dyDescent="0.3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8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8" x14ac:dyDescent="0.3">
      <c r="C20" t="s">
        <v>45</v>
      </c>
    </row>
    <row r="21" spans="3:28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  <c r="Z21" t="s">
        <v>101</v>
      </c>
      <c r="AB21" t="s">
        <v>103</v>
      </c>
    </row>
    <row r="22" spans="3:28" x14ac:dyDescent="0.3">
      <c r="T22">
        <v>480</v>
      </c>
      <c r="U22">
        <v>470</v>
      </c>
      <c r="V22">
        <v>450</v>
      </c>
      <c r="W22">
        <v>420</v>
      </c>
      <c r="X22">
        <v>405</v>
      </c>
      <c r="Z22">
        <f>MIN(C10:AN10)</f>
        <v>409.5</v>
      </c>
      <c r="AB22">
        <f>MAX(C10:AP10)</f>
        <v>463</v>
      </c>
    </row>
    <row r="23" spans="3:28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8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8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22"/>
  <sheetViews>
    <sheetView topLeftCell="B1" workbookViewId="0">
      <selection activeCell="S22" sqref="S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381.5</v>
      </c>
      <c r="D4">
        <f>1-C4/C2</f>
        <v>0.16520787746170673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7:19" x14ac:dyDescent="0.3">
      <c r="Q21" t="s">
        <v>101</v>
      </c>
      <c r="S21" t="s">
        <v>103</v>
      </c>
    </row>
    <row r="22" spans="17:19" x14ac:dyDescent="0.3">
      <c r="Q22">
        <f>MIN(C10:AE10)</f>
        <v>381</v>
      </c>
      <c r="S22">
        <f>MAX(C10:AG10)</f>
        <v>456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1:13" x14ac:dyDescent="0.3">
      <c r="K21" t="s">
        <v>101</v>
      </c>
      <c r="M21" t="s">
        <v>103</v>
      </c>
    </row>
    <row r="22" spans="11:13" x14ac:dyDescent="0.3">
      <c r="K22">
        <f>MIN(C10:F10)</f>
        <v>438</v>
      </c>
      <c r="M22">
        <f>MAX(C10:H10)</f>
        <v>459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topLeftCell="B1" workbookViewId="0">
      <selection activeCell="O22" sqref="O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4:29" x14ac:dyDescent="0.3">
      <c r="AB17">
        <v>2.2241</v>
      </c>
    </row>
    <row r="18" spans="14:29" x14ac:dyDescent="0.3">
      <c r="AC18" t="s">
        <v>27</v>
      </c>
    </row>
    <row r="21" spans="14:29" x14ac:dyDescent="0.3">
      <c r="N21" t="s">
        <v>102</v>
      </c>
      <c r="O21" t="s">
        <v>104</v>
      </c>
    </row>
    <row r="22" spans="14:29" x14ac:dyDescent="0.3">
      <c r="N22">
        <f>MIN(C10:AN10)</f>
        <v>346</v>
      </c>
      <c r="O22">
        <f>MAX(C10:AO10)</f>
        <v>413.5</v>
      </c>
    </row>
    <row r="24" spans="14:29" x14ac:dyDescent="0.3">
      <c r="Q24" t="s">
        <v>44</v>
      </c>
    </row>
    <row r="25" spans="14:29" x14ac:dyDescent="0.3">
      <c r="Q25" t="s">
        <v>42</v>
      </c>
      <c r="R25">
        <v>630</v>
      </c>
      <c r="S25">
        <v>-1.4999999999999999E-2</v>
      </c>
    </row>
    <row r="26" spans="14:29" x14ac:dyDescent="0.3">
      <c r="Q26" t="s">
        <v>43</v>
      </c>
      <c r="R26">
        <v>-1.4999999999999999E-2</v>
      </c>
      <c r="S26">
        <v>0</v>
      </c>
    </row>
    <row r="27" spans="14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  <row r="21" spans="12:13" x14ac:dyDescent="0.3">
      <c r="L21" t="s">
        <v>101</v>
      </c>
      <c r="M21" t="s">
        <v>103</v>
      </c>
    </row>
    <row r="22" spans="12:13" x14ac:dyDescent="0.3">
      <c r="L22">
        <f>MIN(C9:AL9)</f>
        <v>340</v>
      </c>
      <c r="M22">
        <f>MAX(C9:AM9)</f>
        <v>408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22"/>
  <sheetViews>
    <sheetView workbookViewId="0">
      <selection activeCell="N23" sqref="N2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MIN(D9:AM9)</f>
        <v>340</v>
      </c>
      <c r="N22">
        <f>MAX(D9:AN9)</f>
        <v>395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22"/>
  <sheetViews>
    <sheetView zoomScale="106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14" x14ac:dyDescent="0.3">
      <c r="H18" t="s">
        <v>96</v>
      </c>
    </row>
    <row r="21" spans="8:14" x14ac:dyDescent="0.3">
      <c r="L21" t="s">
        <v>93</v>
      </c>
      <c r="M21" t="s">
        <v>101</v>
      </c>
      <c r="N21" t="s">
        <v>103</v>
      </c>
    </row>
    <row r="22" spans="8:14" x14ac:dyDescent="0.3">
      <c r="L22">
        <f>AVERAGE(C8:AK8)</f>
        <v>626.94000000000005</v>
      </c>
      <c r="M22">
        <f>MIN(C10:AM10)</f>
        <v>334</v>
      </c>
      <c r="N22">
        <f>MAX(C10:AN10)</f>
        <v>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6" x14ac:dyDescent="0.3">
      <c r="N17" s="3" t="s">
        <v>50</v>
      </c>
      <c r="O17" s="3" t="s">
        <v>51</v>
      </c>
    </row>
    <row r="19" spans="14:16" x14ac:dyDescent="0.3">
      <c r="O19" t="s">
        <v>95</v>
      </c>
    </row>
    <row r="21" spans="14:16" x14ac:dyDescent="0.3">
      <c r="N21" t="s">
        <v>93</v>
      </c>
      <c r="O21" t="s">
        <v>101</v>
      </c>
      <c r="P21" t="s">
        <v>103</v>
      </c>
    </row>
    <row r="22" spans="14:16" x14ac:dyDescent="0.3">
      <c r="N22">
        <f>AVERAGE(C8:AM8)</f>
        <v>627.65099999999995</v>
      </c>
      <c r="O22">
        <f>MIN(A10:AM10)</f>
        <v>334</v>
      </c>
      <c r="P22">
        <f>MAX(B10:AN10)</f>
        <v>397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6" x14ac:dyDescent="0.3">
      <c r="N17" s="3"/>
      <c r="O17" s="3"/>
    </row>
    <row r="21" spans="2:16" x14ac:dyDescent="0.3">
      <c r="B21" s="21" t="s">
        <v>52</v>
      </c>
      <c r="N21" t="s">
        <v>93</v>
      </c>
      <c r="O21" t="s">
        <v>101</v>
      </c>
      <c r="P21" t="s">
        <v>103</v>
      </c>
    </row>
    <row r="22" spans="2:16" x14ac:dyDescent="0.3">
      <c r="N22">
        <f>AVERAGE(C8:M8)</f>
        <v>624.85518181818179</v>
      </c>
      <c r="O22">
        <f>MIN(A10:Z10)</f>
        <v>337</v>
      </c>
      <c r="P22">
        <f>MAX(B10:AA10)</f>
        <v>397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2"/>
  <sheetViews>
    <sheetView zoomScale="78" workbookViewId="0">
      <selection activeCell="Q23" sqref="Q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7" x14ac:dyDescent="0.3">
      <c r="L17" t="s">
        <v>55</v>
      </c>
      <c r="N17" s="3" t="s">
        <v>56</v>
      </c>
      <c r="O17" s="3" t="s">
        <v>57</v>
      </c>
    </row>
    <row r="21" spans="2:17" x14ac:dyDescent="0.3">
      <c r="B21" s="21" t="s">
        <v>52</v>
      </c>
      <c r="N21" t="s">
        <v>93</v>
      </c>
      <c r="P21" t="s">
        <v>101</v>
      </c>
      <c r="Q21" t="s">
        <v>103</v>
      </c>
    </row>
    <row r="22" spans="2:17" x14ac:dyDescent="0.3">
      <c r="N22">
        <f>AVERAGE(C8:O8)</f>
        <v>618.36923076923074</v>
      </c>
      <c r="P22">
        <f>MIN(B10:AA10)</f>
        <v>337</v>
      </c>
      <c r="Q22">
        <f>MAX(C10:AB10)</f>
        <v>382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R23" sqref="R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8" x14ac:dyDescent="0.3">
      <c r="N17" s="3"/>
      <c r="O17" s="3"/>
    </row>
    <row r="21" spans="2:18" x14ac:dyDescent="0.3">
      <c r="B21" s="21" t="s">
        <v>52</v>
      </c>
      <c r="O21" t="s">
        <v>93</v>
      </c>
      <c r="Q21" t="s">
        <v>101</v>
      </c>
      <c r="R21" t="s">
        <v>103</v>
      </c>
    </row>
    <row r="22" spans="2:18" x14ac:dyDescent="0.3">
      <c r="O22">
        <f>AVERAGE(C8:P8)</f>
        <v>622.92857142857144</v>
      </c>
      <c r="Q22">
        <f>MIN(C10:AB10)</f>
        <v>356</v>
      </c>
      <c r="R22">
        <f>MAX(C10:AC10)</f>
        <v>405</v>
      </c>
    </row>
    <row r="27" spans="2:18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R25" sqref="R25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100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8" x14ac:dyDescent="0.3">
      <c r="A17" s="3"/>
      <c r="B17" s="3"/>
      <c r="M17" s="3"/>
      <c r="N17" s="3"/>
    </row>
    <row r="18" spans="1:18" x14ac:dyDescent="0.3">
      <c r="A18" s="3"/>
      <c r="B18" t="s">
        <v>72</v>
      </c>
    </row>
    <row r="19" spans="1:18" x14ac:dyDescent="0.3">
      <c r="A19" s="3"/>
      <c r="B19" s="3"/>
    </row>
    <row r="20" spans="1:18" x14ac:dyDescent="0.3">
      <c r="A20" s="3"/>
      <c r="B20" s="3"/>
    </row>
    <row r="21" spans="1:18" x14ac:dyDescent="0.3">
      <c r="A21" s="3"/>
      <c r="B21" s="21" t="s">
        <v>52</v>
      </c>
    </row>
    <row r="22" spans="1:18" x14ac:dyDescent="0.3">
      <c r="A22" s="3"/>
      <c r="B22" s="3"/>
    </row>
    <row r="23" spans="1:18" x14ac:dyDescent="0.3">
      <c r="A23" s="3"/>
      <c r="B23" s="3"/>
    </row>
    <row r="24" spans="1:18" x14ac:dyDescent="0.3">
      <c r="A24" s="3"/>
      <c r="B24" s="3"/>
      <c r="O24" t="s">
        <v>94</v>
      </c>
      <c r="Q24" t="s">
        <v>101</v>
      </c>
      <c r="R24" t="s">
        <v>103</v>
      </c>
    </row>
    <row r="25" spans="1:18" x14ac:dyDescent="0.3">
      <c r="A25" s="3"/>
      <c r="B25" s="3"/>
      <c r="O25">
        <f>AVERAGE(C8:V8)</f>
        <v>621.77425000000005</v>
      </c>
      <c r="Q25">
        <f>MIN(C10:AB10)</f>
        <v>366</v>
      </c>
      <c r="R25">
        <f>MAX(C10:AC10)</f>
        <v>434</v>
      </c>
    </row>
    <row r="26" spans="1:18" x14ac:dyDescent="0.3">
      <c r="A26" s="3"/>
      <c r="B26" s="3"/>
    </row>
    <row r="27" spans="1:18" x14ac:dyDescent="0.3">
      <c r="A27" s="3"/>
      <c r="B27" s="29" t="s">
        <v>69</v>
      </c>
    </row>
    <row r="28" spans="1:18" x14ac:dyDescent="0.3">
      <c r="A28" s="3"/>
      <c r="B28" s="3"/>
    </row>
    <row r="29" spans="1:18" x14ac:dyDescent="0.3">
      <c r="A29" s="3"/>
      <c r="B29" s="3"/>
    </row>
    <row r="30" spans="1:18" x14ac:dyDescent="0.3">
      <c r="A30" s="3"/>
      <c r="B30" s="3"/>
    </row>
    <row r="31" spans="1:18" x14ac:dyDescent="0.3">
      <c r="A31" s="3"/>
      <c r="B31" s="3"/>
    </row>
    <row r="32" spans="1:18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63ADC-AC88-46D9-9481-31EBC409444D}">
  <dimension ref="A1:AK36"/>
  <sheetViews>
    <sheetView zoomScale="70" zoomScaleNormal="70" workbookViewId="0">
      <selection activeCell="E5" sqref="E5"/>
    </sheetView>
  </sheetViews>
  <sheetFormatPr defaultRowHeight="14.4" x14ac:dyDescent="0.3"/>
  <cols>
    <col min="1" max="1" width="26" bestFit="1" customWidth="1"/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  <col min="19" max="19" width="25.21875" bestFit="1" customWidth="1"/>
    <col min="20" max="20" width="24.77734375" bestFit="1" customWidth="1"/>
  </cols>
  <sheetData>
    <row r="1" spans="1:37" x14ac:dyDescent="0.3">
      <c r="A1" s="3" t="s">
        <v>97</v>
      </c>
      <c r="B1" s="3"/>
    </row>
    <row r="2" spans="1:37" x14ac:dyDescent="0.3">
      <c r="A2" s="3" t="s">
        <v>71</v>
      </c>
      <c r="B2" s="3"/>
      <c r="C2">
        <v>457</v>
      </c>
      <c r="E2" t="s">
        <v>68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0.71</v>
      </c>
      <c r="D6">
        <v>0.94499999999999995</v>
      </c>
      <c r="E6">
        <v>1.2769999999999999</v>
      </c>
      <c r="F6">
        <v>2.8980000000000001</v>
      </c>
      <c r="G6">
        <v>3.5779999999999998</v>
      </c>
      <c r="H6">
        <v>7.7839999999999998</v>
      </c>
      <c r="I6">
        <v>9.7050000000000001</v>
      </c>
      <c r="J6">
        <v>10.984</v>
      </c>
      <c r="K6">
        <v>11.667</v>
      </c>
      <c r="L6">
        <v>11.925000000000001</v>
      </c>
      <c r="M6">
        <v>12.443</v>
      </c>
      <c r="N6">
        <v>14.452</v>
      </c>
      <c r="O6">
        <v>15.651999999999999</v>
      </c>
      <c r="P6">
        <v>14.798</v>
      </c>
      <c r="Q6">
        <v>17.056000000000001</v>
      </c>
      <c r="R6">
        <v>18.266999999999999</v>
      </c>
      <c r="S6">
        <v>21.821999999999999</v>
      </c>
      <c r="T6">
        <v>22.454000000000001</v>
      </c>
      <c r="U6">
        <v>18.934000000000001</v>
      </c>
      <c r="V6">
        <v>16.04</v>
      </c>
      <c r="W6">
        <v>13.116</v>
      </c>
      <c r="X6">
        <v>9.7759999999999998</v>
      </c>
      <c r="Y6">
        <v>7.2060000000000004</v>
      </c>
      <c r="Z6">
        <v>2.6560000000000001</v>
      </c>
      <c r="AA6">
        <v>1.1100000000000001</v>
      </c>
      <c r="AB6">
        <v>0.95599999999999996</v>
      </c>
    </row>
    <row r="7" spans="1:37" x14ac:dyDescent="0.3">
      <c r="A7" s="3"/>
      <c r="B7" s="6" t="s">
        <v>2</v>
      </c>
      <c r="C7" s="16">
        <v>23.184999999999999</v>
      </c>
      <c r="D7">
        <v>17.440999999999999</v>
      </c>
      <c r="E7">
        <v>9.1839999999999993</v>
      </c>
      <c r="F7">
        <v>2.004</v>
      </c>
      <c r="G7">
        <v>-4.8170000000000002</v>
      </c>
      <c r="H7">
        <v>-10.561</v>
      </c>
      <c r="I7">
        <v>-16.305</v>
      </c>
      <c r="J7">
        <v>-21.331</v>
      </c>
      <c r="K7">
        <v>-26.356999999999999</v>
      </c>
      <c r="L7">
        <v>-32.46</v>
      </c>
      <c r="M7">
        <v>-40.716999999999999</v>
      </c>
      <c r="N7">
        <v>-50.051000000000002</v>
      </c>
      <c r="O7">
        <v>-55.795000000000002</v>
      </c>
      <c r="P7">
        <v>-60.820999999999998</v>
      </c>
      <c r="Q7">
        <v>-67.641999999999996</v>
      </c>
      <c r="R7">
        <v>-73.385999999999996</v>
      </c>
      <c r="S7">
        <v>-84.156000000000006</v>
      </c>
      <c r="T7">
        <v>-90.259</v>
      </c>
      <c r="U7">
        <v>-75.180999999999997</v>
      </c>
      <c r="V7">
        <v>-65.846999999999994</v>
      </c>
      <c r="W7">
        <v>-51.487000000000002</v>
      </c>
      <c r="X7">
        <v>-33.896000000000001</v>
      </c>
      <c r="Y7">
        <v>-17.023</v>
      </c>
      <c r="Z7">
        <v>-4.0990000000000002</v>
      </c>
      <c r="AA7">
        <v>6.3120000000000003</v>
      </c>
      <c r="AB7">
        <v>16.004999999999999</v>
      </c>
    </row>
    <row r="8" spans="1:37" x14ac:dyDescent="0.3">
      <c r="A8" s="3"/>
      <c r="B8" s="4" t="s">
        <v>47</v>
      </c>
      <c r="C8" s="16">
        <v>620.57899999999995</v>
      </c>
      <c r="D8">
        <v>623.60699999999997</v>
      </c>
      <c r="E8">
        <v>622.09299999999996</v>
      </c>
      <c r="F8">
        <v>621.33600000000001</v>
      </c>
      <c r="G8">
        <v>621.33600000000001</v>
      </c>
      <c r="H8">
        <v>623.60699999999997</v>
      </c>
      <c r="I8">
        <v>622.09299999999996</v>
      </c>
      <c r="J8">
        <v>622.09299999999996</v>
      </c>
      <c r="K8">
        <v>621.33600000000001</v>
      </c>
      <c r="L8">
        <v>620.57899999999995</v>
      </c>
      <c r="M8">
        <v>620.58000000000004</v>
      </c>
      <c r="N8">
        <v>623.60699999999997</v>
      </c>
      <c r="O8">
        <v>622.85</v>
      </c>
      <c r="P8">
        <v>623.60699999999997</v>
      </c>
      <c r="Q8">
        <v>623.60699999999997</v>
      </c>
      <c r="R8">
        <v>622.096</v>
      </c>
      <c r="S8">
        <v>620.57899999999995</v>
      </c>
      <c r="T8">
        <v>622.85</v>
      </c>
      <c r="U8">
        <v>623.85</v>
      </c>
      <c r="V8">
        <v>622.85</v>
      </c>
      <c r="W8">
        <v>621.33600000000001</v>
      </c>
      <c r="X8">
        <v>622.09299999999996</v>
      </c>
      <c r="Y8">
        <v>623.60699999999997</v>
      </c>
      <c r="Z8">
        <v>622.85</v>
      </c>
      <c r="AA8">
        <v>622.09299999999996</v>
      </c>
      <c r="AB8">
        <v>621.33600000000001</v>
      </c>
    </row>
    <row r="9" spans="1:37" x14ac:dyDescent="0.3">
      <c r="A9" s="11" t="s">
        <v>7</v>
      </c>
      <c r="B9" s="7" t="s">
        <v>34</v>
      </c>
      <c r="C9" s="15">
        <v>87</v>
      </c>
      <c r="D9" s="1">
        <v>87</v>
      </c>
      <c r="E9" s="1">
        <v>85</v>
      </c>
      <c r="F9" s="1">
        <v>84</v>
      </c>
      <c r="G9" s="1">
        <v>83</v>
      </c>
      <c r="H9" s="1">
        <v>82</v>
      </c>
      <c r="I9" s="1">
        <v>82</v>
      </c>
      <c r="J9" s="1">
        <v>80</v>
      </c>
      <c r="K9" s="1">
        <v>79</v>
      </c>
      <c r="L9" s="1">
        <v>79</v>
      </c>
      <c r="M9" s="1">
        <v>79</v>
      </c>
      <c r="N9" s="1">
        <v>75</v>
      </c>
      <c r="O9" s="1">
        <v>75</v>
      </c>
      <c r="P9" s="1">
        <v>74</v>
      </c>
      <c r="Q9" s="1">
        <v>74</v>
      </c>
      <c r="R9" s="1">
        <v>73</v>
      </c>
      <c r="S9" s="1">
        <v>74</v>
      </c>
      <c r="T9" s="1">
        <v>75</v>
      </c>
      <c r="U9" s="1">
        <v>74</v>
      </c>
      <c r="V9" s="1">
        <v>74</v>
      </c>
      <c r="W9" s="1">
        <v>76</v>
      </c>
      <c r="X9" s="1">
        <v>79</v>
      </c>
      <c r="Y9" s="1">
        <v>81</v>
      </c>
      <c r="Z9" s="1">
        <v>82</v>
      </c>
      <c r="AA9" s="1">
        <v>84</v>
      </c>
      <c r="AB9" s="1">
        <v>85</v>
      </c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404</v>
      </c>
      <c r="D10">
        <v>398</v>
      </c>
      <c r="E10">
        <v>393</v>
      </c>
      <c r="F10">
        <v>393</v>
      </c>
      <c r="G10">
        <v>390</v>
      </c>
      <c r="H10">
        <v>394</v>
      </c>
      <c r="I10">
        <v>397</v>
      </c>
      <c r="J10">
        <v>399</v>
      </c>
      <c r="K10">
        <v>400</v>
      </c>
      <c r="L10">
        <v>404</v>
      </c>
      <c r="M10">
        <v>407</v>
      </c>
      <c r="N10">
        <v>410</v>
      </c>
      <c r="O10">
        <v>410</v>
      </c>
      <c r="P10">
        <v>414</v>
      </c>
      <c r="Q10">
        <v>415</v>
      </c>
      <c r="R10">
        <v>416</v>
      </c>
      <c r="S10">
        <v>423</v>
      </c>
      <c r="T10">
        <v>424</v>
      </c>
      <c r="U10">
        <v>418</v>
      </c>
      <c r="V10">
        <v>417</v>
      </c>
      <c r="W10">
        <v>410</v>
      </c>
      <c r="X10">
        <v>404</v>
      </c>
      <c r="Y10">
        <v>396</v>
      </c>
      <c r="Z10">
        <v>387</v>
      </c>
      <c r="AA10">
        <v>388</v>
      </c>
      <c r="AB10">
        <v>387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80</v>
      </c>
      <c r="D14">
        <v>73</v>
      </c>
      <c r="E14">
        <v>65</v>
      </c>
      <c r="F14">
        <v>55</v>
      </c>
      <c r="G14">
        <v>53</v>
      </c>
      <c r="H14">
        <v>50</v>
      </c>
      <c r="I14">
        <v>48</v>
      </c>
      <c r="J14">
        <v>44</v>
      </c>
      <c r="K14">
        <v>40</v>
      </c>
      <c r="L14">
        <f>510-475</f>
        <v>35</v>
      </c>
      <c r="M14">
        <v>32</v>
      </c>
      <c r="N14">
        <v>30</v>
      </c>
      <c r="O14">
        <v>30</v>
      </c>
      <c r="P14">
        <v>28</v>
      </c>
      <c r="Q14">
        <v>28</v>
      </c>
      <c r="R14">
        <v>28</v>
      </c>
      <c r="S14">
        <v>28</v>
      </c>
      <c r="T14">
        <v>27</v>
      </c>
      <c r="U14">
        <v>30</v>
      </c>
      <c r="V14">
        <v>29</v>
      </c>
      <c r="W14">
        <v>33</v>
      </c>
      <c r="X14">
        <v>37</v>
      </c>
      <c r="Y14">
        <v>44</v>
      </c>
      <c r="Z14">
        <v>50</v>
      </c>
      <c r="AA14">
        <v>59</v>
      </c>
      <c r="AB14">
        <v>72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C6*SIN(RADIANS(C9+5.15))*C13/1000</f>
        <v>0.17716929126497558</v>
      </c>
      <c r="D16" s="16">
        <f t="shared" ref="D16:AE16" si="0">D6*SIN(RADIANS(D9+5.15))*D13/1000</f>
        <v>0.23580983133155201</v>
      </c>
      <c r="E16" s="16">
        <f t="shared" si="0"/>
        <v>0.31887857721722329</v>
      </c>
      <c r="F16" s="16">
        <f>F6*SIN(RADIANS(F9+5.15))*F13/1000</f>
        <v>0.72357994775830636</v>
      </c>
      <c r="G16" s="16">
        <f t="shared" si="0"/>
        <v>0.89299667946631711</v>
      </c>
      <c r="H16" s="16">
        <f t="shared" si="0"/>
        <v>1.9413384783051184</v>
      </c>
      <c r="I16" s="16">
        <f t="shared" si="0"/>
        <v>2.4204380693667997</v>
      </c>
      <c r="J16" s="16">
        <f t="shared" si="0"/>
        <v>2.7329938745931397</v>
      </c>
      <c r="K16" s="16">
        <f t="shared" si="0"/>
        <v>2.898194169907315</v>
      </c>
      <c r="L16" s="16">
        <f t="shared" si="0"/>
        <v>2.9622838327028997</v>
      </c>
      <c r="M16" s="16">
        <f t="shared" si="0"/>
        <v>3.0909599773855079</v>
      </c>
      <c r="N16" s="16">
        <f t="shared" si="0"/>
        <v>3.5556114225204913</v>
      </c>
      <c r="O16" s="16">
        <f t="shared" si="0"/>
        <v>3.8508462486362252</v>
      </c>
      <c r="P16" s="16">
        <f t="shared" si="0"/>
        <v>3.6291506505175044</v>
      </c>
      <c r="Q16" s="16">
        <f t="shared" si="0"/>
        <v>4.1829161707816302</v>
      </c>
      <c r="R16" s="16">
        <f t="shared" si="0"/>
        <v>4.4642414453654187</v>
      </c>
      <c r="S16" s="16">
        <f t="shared" si="0"/>
        <v>5.3517587170964296</v>
      </c>
      <c r="T16" s="16">
        <f t="shared" si="0"/>
        <v>5.5243356546689117</v>
      </c>
      <c r="U16" s="16">
        <f t="shared" si="0"/>
        <v>4.6434882022501975</v>
      </c>
      <c r="V16" s="16">
        <f>V6*SIN(RADIANS(V9+5.15))*V13/1000</f>
        <v>3.9337462112650874</v>
      </c>
      <c r="W16" s="16">
        <f t="shared" si="0"/>
        <v>3.2362035092330919</v>
      </c>
      <c r="X16" s="16">
        <f t="shared" si="0"/>
        <v>2.4284517189520791</v>
      </c>
      <c r="Y16" s="16">
        <f t="shared" si="0"/>
        <v>1.7953494471509861</v>
      </c>
      <c r="Z16" s="16">
        <f t="shared" si="0"/>
        <v>0.66240942939085234</v>
      </c>
      <c r="AA16" s="16">
        <f t="shared" si="0"/>
        <v>0.27714759903786063</v>
      </c>
      <c r="AB16" s="16">
        <f t="shared" si="0"/>
        <v>0.23872194191046633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0" x14ac:dyDescent="0.3">
      <c r="A17" s="3"/>
      <c r="B17" s="3"/>
      <c r="N17" s="3"/>
      <c r="O17" s="3"/>
      <c r="S17" t="s">
        <v>98</v>
      </c>
      <c r="T17" t="s">
        <v>99</v>
      </c>
    </row>
    <row r="18" spans="1:20" x14ac:dyDescent="0.3">
      <c r="A18" s="3"/>
      <c r="B18" t="s">
        <v>72</v>
      </c>
    </row>
    <row r="19" spans="1:20" x14ac:dyDescent="0.3">
      <c r="A19" s="3"/>
      <c r="B19" s="3"/>
    </row>
    <row r="20" spans="1:20" x14ac:dyDescent="0.3">
      <c r="A20" s="3"/>
      <c r="B20" s="3"/>
    </row>
    <row r="21" spans="1:20" x14ac:dyDescent="0.3">
      <c r="A21" s="3"/>
      <c r="B21" s="21" t="s">
        <v>52</v>
      </c>
    </row>
    <row r="22" spans="1:20" x14ac:dyDescent="0.3">
      <c r="A22" s="3"/>
      <c r="B22" s="3"/>
    </row>
    <row r="23" spans="1:20" x14ac:dyDescent="0.3">
      <c r="A23" s="3"/>
      <c r="B23" s="3"/>
    </row>
    <row r="24" spans="1:20" x14ac:dyDescent="0.3">
      <c r="A24" s="3"/>
      <c r="B24" s="3"/>
      <c r="P24" t="s">
        <v>93</v>
      </c>
      <c r="Q24" t="s">
        <v>101</v>
      </c>
      <c r="R24" t="s">
        <v>103</v>
      </c>
    </row>
    <row r="25" spans="1:20" x14ac:dyDescent="0.3">
      <c r="A25" s="3"/>
      <c r="B25" s="3"/>
      <c r="P25">
        <f>AVERAGE(C8:AB8)</f>
        <v>622.24807692307695</v>
      </c>
      <c r="Q25">
        <f>MIN(C10:AB10)</f>
        <v>387</v>
      </c>
      <c r="R25">
        <f>MAX(C10:AC10)</f>
        <v>424</v>
      </c>
    </row>
    <row r="26" spans="1:20" x14ac:dyDescent="0.3">
      <c r="A26" s="3"/>
      <c r="B26" s="3"/>
    </row>
    <row r="27" spans="1:20" x14ac:dyDescent="0.3">
      <c r="A27" s="3"/>
      <c r="B27" s="29" t="s">
        <v>69</v>
      </c>
    </row>
    <row r="28" spans="1:20" x14ac:dyDescent="0.3">
      <c r="A28" s="3"/>
      <c r="B28" s="3"/>
    </row>
    <row r="29" spans="1:20" x14ac:dyDescent="0.3">
      <c r="A29" s="3"/>
      <c r="B29" s="3"/>
    </row>
    <row r="30" spans="1:20" x14ac:dyDescent="0.3">
      <c r="A30" s="3"/>
      <c r="B30" s="3"/>
    </row>
    <row r="31" spans="1:20" x14ac:dyDescent="0.3">
      <c r="A31" s="3"/>
      <c r="B31" s="3"/>
    </row>
    <row r="32" spans="1:20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22"/>
  <sheetViews>
    <sheetView workbookViewId="0">
      <selection activeCell="F31" sqref="F31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MIN(C10:AZ10)</f>
        <v>406</v>
      </c>
      <c r="N22">
        <f>MAX(C10:AZ10)</f>
        <v>467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M19" sqref="M1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1" spans="13:18" x14ac:dyDescent="0.3">
      <c r="M21" t="s">
        <v>101</v>
      </c>
      <c r="N21" t="s">
        <v>103</v>
      </c>
    </row>
    <row r="22" spans="13:18" x14ac:dyDescent="0.3">
      <c r="M22">
        <f>MIN(C10:AZ10)</f>
        <v>404</v>
      </c>
      <c r="N22">
        <f>MAX(C10:AZ10)</f>
        <v>467</v>
      </c>
    </row>
    <row r="29" spans="13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topLeftCell="A13" workbookViewId="0">
      <selection activeCell="K24" sqref="K2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1" spans="10:18" x14ac:dyDescent="0.3">
      <c r="M21" t="s">
        <v>101</v>
      </c>
      <c r="N21" t="s">
        <v>103</v>
      </c>
    </row>
    <row r="22" spans="10:18" x14ac:dyDescent="0.3">
      <c r="M22">
        <f>MIN(C10:AZ10)</f>
        <v>376</v>
      </c>
      <c r="N22">
        <f>MAX(C10:AZ10)</f>
        <v>428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topLeftCell="A7" zoomScale="85" zoomScaleNormal="85" workbookViewId="0">
      <selection activeCell="M29" sqref="M29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403</v>
      </c>
      <c r="D3">
        <f>(C3/C2)</f>
        <v>0.84133611691022969</v>
      </c>
      <c r="E3">
        <f>1-D3</f>
        <v>0.15866388308977031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  <c r="M21" t="s">
        <v>93</v>
      </c>
      <c r="N21" t="s">
        <v>101</v>
      </c>
      <c r="O21" t="s">
        <v>103</v>
      </c>
    </row>
    <row r="22" spans="1:15" x14ac:dyDescent="0.3">
      <c r="A22" s="3"/>
      <c r="B22" s="3"/>
      <c r="M22">
        <f>AVERAGE(C8:T8)</f>
        <v>623.16511111111129</v>
      </c>
      <c r="N22">
        <f>MIN(C10:BA10)</f>
        <v>403</v>
      </c>
      <c r="O22">
        <f>MAX(C10:BA10)</f>
        <v>453</v>
      </c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3"/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70" zoomScaleNormal="70" workbookViewId="0">
      <selection activeCell="N22" sqref="N22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81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83</v>
      </c>
      <c r="O4" s="3"/>
      <c r="Q4" t="s">
        <v>26</v>
      </c>
      <c r="R4" t="s">
        <v>86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82</v>
      </c>
      <c r="N17" s="3"/>
      <c r="O17" s="3"/>
      <c r="Q17" t="s">
        <v>85</v>
      </c>
      <c r="R17" t="s">
        <v>87</v>
      </c>
      <c r="S17" t="s">
        <v>88</v>
      </c>
      <c r="T17" t="s">
        <v>90</v>
      </c>
      <c r="U17" t="s">
        <v>92</v>
      </c>
    </row>
    <row r="18" spans="1:21" x14ac:dyDescent="0.3">
      <c r="A18" s="3"/>
      <c r="B18" t="s">
        <v>72</v>
      </c>
      <c r="H18" t="s">
        <v>84</v>
      </c>
      <c r="S18" t="s">
        <v>89</v>
      </c>
      <c r="T18" t="s">
        <v>91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  <c r="M21" t="s">
        <v>101</v>
      </c>
      <c r="N21" t="s">
        <v>103</v>
      </c>
    </row>
    <row r="22" spans="1:21" x14ac:dyDescent="0.3">
      <c r="A22" s="3"/>
      <c r="B22" s="3"/>
      <c r="M22">
        <f>MIN(C10:AZ10)</f>
        <v>336</v>
      </c>
      <c r="N22">
        <f>MAX(C10:AZ10)</f>
        <v>382</v>
      </c>
    </row>
    <row r="23" spans="1:21" x14ac:dyDescent="0.3">
      <c r="A23" s="3"/>
      <c r="B23" s="3"/>
    </row>
    <row r="24" spans="1:21" x14ac:dyDescent="0.3">
      <c r="A24" s="3"/>
      <c r="B24" s="3"/>
      <c r="M24" t="s">
        <v>93</v>
      </c>
    </row>
    <row r="25" spans="1:21" x14ac:dyDescent="0.3">
      <c r="A25" s="3"/>
      <c r="B25" s="3"/>
      <c r="M25">
        <f>AVERAGE(C8:U8)</f>
        <v>623.42526315789462</v>
      </c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CAB6-F80F-4BC7-AC78-635542748F6E}">
  <dimension ref="A1:AK36"/>
  <sheetViews>
    <sheetView tabSelected="1" zoomScale="70" zoomScaleNormal="70" workbookViewId="0">
      <selection activeCell="V7" sqref="V7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</row>
    <row r="2" spans="1:37" x14ac:dyDescent="0.3">
      <c r="A2" s="3" t="s">
        <v>71</v>
      </c>
      <c r="B2" s="3"/>
      <c r="C2">
        <v>457</v>
      </c>
      <c r="E2" t="s">
        <v>58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  <c r="V4" t="s">
        <v>16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3.1</v>
      </c>
      <c r="D6">
        <v>8.6999999999999993</v>
      </c>
      <c r="E6">
        <v>16.7</v>
      </c>
      <c r="F6">
        <v>24.4</v>
      </c>
      <c r="G6">
        <v>33.4</v>
      </c>
      <c r="H6">
        <v>46.3</v>
      </c>
      <c r="I6">
        <v>58.9</v>
      </c>
      <c r="J6">
        <v>64.7</v>
      </c>
      <c r="K6">
        <v>70.900000000000006</v>
      </c>
      <c r="L6">
        <v>75</v>
      </c>
      <c r="M6">
        <v>68.400000000000006</v>
      </c>
      <c r="N6">
        <v>58.6</v>
      </c>
      <c r="O6">
        <v>53.2</v>
      </c>
      <c r="P6">
        <v>41.9</v>
      </c>
      <c r="Q6">
        <v>31</v>
      </c>
      <c r="R6">
        <v>16.2</v>
      </c>
      <c r="S6">
        <v>11</v>
      </c>
      <c r="T6">
        <v>7.3</v>
      </c>
      <c r="U6">
        <v>4.5</v>
      </c>
      <c r="V6">
        <v>75</v>
      </c>
    </row>
    <row r="7" spans="1:37" x14ac:dyDescent="0.3">
      <c r="A7" s="3"/>
      <c r="B7" s="6" t="s">
        <v>2</v>
      </c>
      <c r="C7" s="16">
        <v>-86.5</v>
      </c>
      <c r="D7">
        <v>-78.7</v>
      </c>
      <c r="E7">
        <v>-71</v>
      </c>
      <c r="F7">
        <v>-66</v>
      </c>
      <c r="G7">
        <v>-59.7</v>
      </c>
      <c r="H7">
        <v>-53.6</v>
      </c>
      <c r="I7">
        <v>-45.743000000000002</v>
      </c>
      <c r="J7">
        <v>-40.700000000000003</v>
      </c>
      <c r="K7">
        <v>-33.9</v>
      </c>
      <c r="L7">
        <v>-25.28</v>
      </c>
      <c r="M7">
        <v>-32</v>
      </c>
      <c r="N7">
        <v>-40.5</v>
      </c>
      <c r="O7">
        <v>-44.3</v>
      </c>
      <c r="P7">
        <v>-50.7</v>
      </c>
      <c r="Q7">
        <v>-56.5</v>
      </c>
      <c r="R7">
        <v>-66.5</v>
      </c>
      <c r="S7">
        <v>-71.900000000000006</v>
      </c>
      <c r="T7">
        <v>-76.257999999999996</v>
      </c>
      <c r="U7">
        <v>-80.900000000000006</v>
      </c>
      <c r="V7">
        <v>-21.331</v>
      </c>
    </row>
    <row r="8" spans="1:37" x14ac:dyDescent="0.3">
      <c r="A8" s="3"/>
      <c r="B8" s="4" t="s">
        <v>47</v>
      </c>
      <c r="C8" s="16">
        <v>613.75</v>
      </c>
      <c r="D8">
        <v>613</v>
      </c>
      <c r="E8">
        <v>613</v>
      </c>
      <c r="F8">
        <v>616</v>
      </c>
      <c r="G8">
        <v>616.70000000000005</v>
      </c>
      <c r="H8">
        <v>616</v>
      </c>
      <c r="I8">
        <v>614.5</v>
      </c>
      <c r="J8">
        <v>613</v>
      </c>
      <c r="K8">
        <v>613.76400000000001</v>
      </c>
      <c r="L8">
        <v>613</v>
      </c>
      <c r="M8">
        <v>613</v>
      </c>
      <c r="N8">
        <v>615</v>
      </c>
      <c r="O8">
        <v>615</v>
      </c>
      <c r="P8">
        <v>615</v>
      </c>
      <c r="Q8">
        <v>613.70000000000005</v>
      </c>
      <c r="R8">
        <v>613</v>
      </c>
      <c r="S8">
        <v>615.20000000000005</v>
      </c>
      <c r="T8">
        <v>614</v>
      </c>
      <c r="U8">
        <v>613</v>
      </c>
      <c r="V8">
        <v>615.20000000000005</v>
      </c>
      <c r="W8">
        <v>613</v>
      </c>
      <c r="X8">
        <v>613</v>
      </c>
      <c r="Y8">
        <v>613</v>
      </c>
      <c r="Z8">
        <v>613</v>
      </c>
      <c r="AA8">
        <v>613</v>
      </c>
      <c r="AB8">
        <v>613</v>
      </c>
      <c r="AC8">
        <v>613</v>
      </c>
    </row>
    <row r="9" spans="1:37" x14ac:dyDescent="0.3">
      <c r="A9" s="11" t="s">
        <v>7</v>
      </c>
      <c r="B9" s="7" t="s">
        <v>34</v>
      </c>
      <c r="C9" s="15">
        <v>85.5</v>
      </c>
      <c r="D9" s="1">
        <v>87.5</v>
      </c>
      <c r="E9" s="1">
        <v>88</v>
      </c>
      <c r="F9" s="1">
        <v>87.5</v>
      </c>
      <c r="G9" s="1">
        <v>90</v>
      </c>
      <c r="H9" s="1">
        <v>89</v>
      </c>
      <c r="I9" s="1">
        <v>90</v>
      </c>
      <c r="J9" s="1">
        <v>89</v>
      </c>
      <c r="K9" s="1">
        <v>88</v>
      </c>
      <c r="L9" s="1">
        <v>88.5</v>
      </c>
      <c r="M9" s="1">
        <v>90</v>
      </c>
      <c r="N9" s="1">
        <v>90</v>
      </c>
      <c r="O9" s="1">
        <v>88</v>
      </c>
      <c r="P9" s="1">
        <v>87.5</v>
      </c>
      <c r="Q9" s="1">
        <v>90</v>
      </c>
      <c r="R9" s="1">
        <v>89</v>
      </c>
      <c r="S9" s="1">
        <v>90</v>
      </c>
      <c r="T9" s="1">
        <v>90</v>
      </c>
      <c r="U9" s="1">
        <v>90</v>
      </c>
      <c r="V9" s="1">
        <v>93</v>
      </c>
      <c r="W9" s="1">
        <v>87.5</v>
      </c>
      <c r="X9" s="1">
        <v>87.5</v>
      </c>
      <c r="Y9" s="1">
        <v>87.5</v>
      </c>
      <c r="Z9" s="1">
        <v>87.5</v>
      </c>
      <c r="AA9" s="1">
        <v>87.5</v>
      </c>
      <c r="AB9" s="1">
        <v>87.5</v>
      </c>
      <c r="AC9" s="1">
        <v>87.5</v>
      </c>
      <c r="AD9" s="1">
        <v>87.5</v>
      </c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387</v>
      </c>
      <c r="D10" s="30">
        <v>391</v>
      </c>
      <c r="E10" s="30">
        <v>395</v>
      </c>
      <c r="F10" s="30">
        <v>400</v>
      </c>
      <c r="G10" s="30">
        <v>405</v>
      </c>
      <c r="H10" s="30">
        <v>412</v>
      </c>
      <c r="I10" s="30">
        <v>422</v>
      </c>
      <c r="J10" s="30">
        <v>425</v>
      </c>
      <c r="K10" s="30">
        <v>430</v>
      </c>
      <c r="L10" s="30">
        <v>435</v>
      </c>
      <c r="M10" s="30">
        <v>431</v>
      </c>
      <c r="N10" s="30">
        <v>423</v>
      </c>
      <c r="O10" s="30">
        <v>418</v>
      </c>
      <c r="P10" s="30">
        <v>411</v>
      </c>
      <c r="Q10" s="30">
        <v>405</v>
      </c>
      <c r="R10" s="30">
        <v>395</v>
      </c>
      <c r="S10" s="30">
        <v>390</v>
      </c>
      <c r="T10" s="30">
        <v>387</v>
      </c>
      <c r="U10" s="30">
        <v>385</v>
      </c>
      <c r="V10" s="30">
        <v>435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42</v>
      </c>
      <c r="D14">
        <v>53</v>
      </c>
      <c r="E14">
        <v>66</v>
      </c>
      <c r="F14">
        <v>74</v>
      </c>
      <c r="G14">
        <v>80</v>
      </c>
      <c r="H14">
        <v>80</v>
      </c>
      <c r="I14">
        <v>85</v>
      </c>
      <c r="J14">
        <v>85</v>
      </c>
      <c r="K14">
        <v>85</v>
      </c>
      <c r="L14">
        <v>80</v>
      </c>
      <c r="M14">
        <v>82</v>
      </c>
      <c r="N14">
        <v>83</v>
      </c>
      <c r="O14">
        <v>85</v>
      </c>
      <c r="P14">
        <v>85</v>
      </c>
      <c r="Q14">
        <v>80</v>
      </c>
      <c r="R14">
        <v>70</v>
      </c>
      <c r="S14">
        <v>65</v>
      </c>
      <c r="T14">
        <v>55</v>
      </c>
      <c r="U14">
        <v>40</v>
      </c>
      <c r="V14">
        <v>75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-0.77403468088936644</v>
      </c>
      <c r="D16" s="16">
        <f t="shared" ref="D16:AE16" si="0">-D6*SIN(RADIANS(D9+5.25))*D13/1000</f>
        <v>-2.1699751461256667</v>
      </c>
      <c r="E16" s="16">
        <f t="shared" si="0"/>
        <v>-4.1634500137164219</v>
      </c>
      <c r="F16" s="16">
        <f t="shared" si="0"/>
        <v>-6.0859073063754314</v>
      </c>
      <c r="G16" s="16">
        <f t="shared" si="0"/>
        <v>-8.3053257787199364</v>
      </c>
      <c r="H16" s="16">
        <f t="shared" si="0"/>
        <v>-11.529780814291216</v>
      </c>
      <c r="I16" s="16">
        <f t="shared" si="0"/>
        <v>-14.646218214568991</v>
      </c>
      <c r="J16" s="16">
        <f t="shared" si="0"/>
        <v>-16.11181033876116</v>
      </c>
      <c r="K16" s="16">
        <f t="shared" si="0"/>
        <v>-17.67596442949068</v>
      </c>
      <c r="L16" s="16">
        <f t="shared" si="0"/>
        <v>-18.688151379143374</v>
      </c>
      <c r="M16" s="16">
        <f t="shared" si="0"/>
        <v>-17.008511474983347</v>
      </c>
      <c r="N16" s="16">
        <f t="shared" si="0"/>
        <v>-14.571619480029591</v>
      </c>
      <c r="O16" s="16">
        <f t="shared" si="0"/>
        <v>-13.263206031719381</v>
      </c>
      <c r="P16" s="16">
        <f t="shared" si="0"/>
        <v>-10.450799841685679</v>
      </c>
      <c r="Q16" s="16">
        <f t="shared" si="0"/>
        <v>-7.7085359024047326</v>
      </c>
      <c r="R16" s="16">
        <f t="shared" si="0"/>
        <v>-4.0341781682833195</v>
      </c>
      <c r="S16" s="16">
        <f t="shared" si="0"/>
        <v>-2.735286933111357</v>
      </c>
      <c r="T16" s="16">
        <f t="shared" si="0"/>
        <v>-1.815235873792082</v>
      </c>
      <c r="U16" s="16">
        <f t="shared" si="0"/>
        <v>-1.1189810180910094</v>
      </c>
      <c r="V16" s="16">
        <f t="shared" si="0"/>
        <v>-18.534438585205493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2" x14ac:dyDescent="0.3">
      <c r="A17" s="3"/>
      <c r="B17" s="3"/>
      <c r="N17" s="3"/>
      <c r="O17" s="3"/>
      <c r="V17" t="s">
        <v>107</v>
      </c>
    </row>
    <row r="18" spans="1:22" x14ac:dyDescent="0.3">
      <c r="A18" s="3"/>
      <c r="B18" t="s">
        <v>72</v>
      </c>
      <c r="V18" t="s">
        <v>106</v>
      </c>
    </row>
    <row r="19" spans="1:22" x14ac:dyDescent="0.3">
      <c r="A19" s="3"/>
      <c r="B19" s="3"/>
      <c r="V19">
        <f>462/C2</f>
        <v>1.0109409190371992</v>
      </c>
    </row>
    <row r="20" spans="1:22" x14ac:dyDescent="0.3">
      <c r="A20" s="3"/>
      <c r="B20" s="3"/>
    </row>
    <row r="21" spans="1:22" x14ac:dyDescent="0.3">
      <c r="A21" s="3"/>
      <c r="B21" s="21" t="s">
        <v>52</v>
      </c>
      <c r="M21" t="s">
        <v>101</v>
      </c>
      <c r="N21" t="s">
        <v>103</v>
      </c>
    </row>
    <row r="22" spans="1:22" x14ac:dyDescent="0.3">
      <c r="A22" s="3"/>
      <c r="B22" s="3"/>
      <c r="M22">
        <f>MIN(C10:AZ10)</f>
        <v>385</v>
      </c>
      <c r="N22">
        <f>MAX(C10:AZ10)</f>
        <v>435</v>
      </c>
    </row>
    <row r="23" spans="1:22" x14ac:dyDescent="0.3">
      <c r="A23" s="3"/>
      <c r="B23" s="3"/>
    </row>
    <row r="24" spans="1:22" x14ac:dyDescent="0.3">
      <c r="A24" s="3"/>
      <c r="B24" s="3"/>
      <c r="M24" t="s">
        <v>93</v>
      </c>
    </row>
    <row r="25" spans="1:22" x14ac:dyDescent="0.3">
      <c r="A25" s="3"/>
      <c r="B25" s="3"/>
      <c r="M25">
        <f>AVERAGE(C8:U8)</f>
        <v>614.19021052631581</v>
      </c>
    </row>
    <row r="26" spans="1:22" x14ac:dyDescent="0.3">
      <c r="A26" s="3"/>
      <c r="B26" s="3"/>
    </row>
    <row r="27" spans="1:22" x14ac:dyDescent="0.3">
      <c r="A27" s="3"/>
      <c r="B27" s="3"/>
    </row>
    <row r="28" spans="1:22" x14ac:dyDescent="0.3">
      <c r="A28" s="3"/>
      <c r="B28" s="3"/>
    </row>
    <row r="29" spans="1:22" x14ac:dyDescent="0.3">
      <c r="A29" s="3"/>
      <c r="B29" s="3"/>
    </row>
    <row r="30" spans="1:22" x14ac:dyDescent="0.3">
      <c r="A30" s="3"/>
      <c r="B30" s="3"/>
    </row>
    <row r="31" spans="1:22" x14ac:dyDescent="0.3">
      <c r="A31" s="3"/>
      <c r="B31" s="3"/>
    </row>
    <row r="32" spans="1:22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  <vt:lpstr>FlxTest10mm_5</vt:lpstr>
      <vt:lpstr>FlxTest10mm_6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2026-08-15T14:16:35Z</dcterms:modified>
</cp:coreProperties>
</file>