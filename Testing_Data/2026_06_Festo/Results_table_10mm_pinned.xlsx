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8B7F1798-1087-4F15-A16B-810D4A81F2B0}" xr6:coauthVersionLast="47" xr6:coauthVersionMax="47" xr10:uidLastSave="{00000000-0000-0000-0000-000000000000}"/>
  <bookViews>
    <workbookView xWindow="11910" yWindow="-16320" windowWidth="29040" windowHeight="15720" firstSheet="11" activeTab="14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FlxTest10mm_1" sheetId="7" r:id="rId13"/>
    <sheet name="FlxTest10mm_2" sheetId="8" r:id="rId14"/>
    <sheet name="FlxTest10mm_3" sheetId="15" r:id="rId15"/>
    <sheet name="FlxTest10mm_4" sheetId="23" r:id="rId16"/>
    <sheet name="FlxTest10mm_5" sheetId="24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24" l="1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sharedStrings.xml><?xml version="1.0" encoding="utf-8"?>
<sst xmlns="http://schemas.openxmlformats.org/spreadsheetml/2006/main" count="388" uniqueCount="94">
  <si>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</si>
  <si>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</si>
  <si>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</si>
  <si>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</si>
  <si>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</si>
  <si>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</si>
  <si>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</si>
  <si>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</si>
  <si>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</si>
  <si>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</si>
  <si>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</si>
  <si>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</si>
  <si>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</si>
  <si>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</si>
  <si>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</si>
  <si>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</si>
  <si>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</si>
  <si>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</si>
  <si>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</si>
  <si>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</si>
  <si>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</si>
  <si>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</si>
  <si>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</si>
  <si>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</si>
  <si>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</si>
  <si>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</si>
  <si>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</si>
  <si>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</si>
  <si>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</si>
  <si>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</si>
  <si>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</si>
  <si>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</si>
  <si>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</si>
  <si>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</si>
  <si>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</si>
  <si>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</si>
  <si>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</si>
  <si>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</si>
  <si>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</si>
  <si>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</si>
  <si>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</si>
  <si>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</si>
  <si>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</si>
  <si>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</si>
  <si>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</si>
  <si>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</si>
  <si>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</si>
  <si>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</si>
  <si>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</si>
  <si>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</si>
  <si>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</si>
  <si>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</si>
  <si>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</si>
  <si>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</si>
  <si>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</si>
  <si>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</si>
  <si>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</si>
  <si>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</si>
  <si>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</si>
  <si>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</si>
  <si>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</si>
  <si>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</si>
  <si>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</si>
  <si>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</si>
  <si>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</si>
  <si>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</si>
  <si>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</si>
  <si>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</si>
  <si>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</si>
  <si>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</si>
  <si>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</si>
  <si>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</si>
  <si>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</si>
  <si>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</si>
  <si>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</si>
  <si>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</si>
  <si>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</si>
  <si>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</si>
  <si>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</si>
  <si>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</si>
  <si>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</si>
  <si>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oooooo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</si>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</sst>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5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3" fillId="5" borderId="0" xfId="1" applyFont="1" applyFill="1"/>
    <xf numFmtId="0" fontId="3" fillId="5" borderId="8" xfId="1" applyFont="1" applyFill="1" applyBorder="1"/>
    <xf numFmtId="0" fontId="2" fillId="5" borderId="10" xfId="1" applyFill="1" applyBorder="1"/>
    <xf numFmtId="0" fontId="0" fillId="0" borderId="0" xfId="0" applyFill="1" applyBorder="1"/>
    <xf numFmtId="0" fontId="1" fillId="0" borderId="0" xfId="0" applyFont="1" applyFill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5337707786526634E-2"/>
                  <c:y val="-0.4624099436738614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410920</xdr:colOff>
      <xdr:row>21</xdr:row>
      <xdr:rowOff>46935</xdr:rowOff>
    </xdr:from>
    <xdr:to>
      <xdr:col>15</xdr:col>
      <xdr:colOff>1130338</xdr:colOff>
      <xdr:row>36</xdr:row>
      <xdr:rowOff>78684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7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L17" t="s">
        <v>55</v>
      </c>
      <c r="N17" s="3" t="s">
        <v>56</v>
      </c>
      <c r="O17" s="3" t="s">
        <v>57</v>
      </c>
    </row>
    <row r="21" spans="2:15" x14ac:dyDescent="0.3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Y45" sqref="Y45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</row>
    <row r="27" spans="2:15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topLeftCell="A2" zoomScale="76" workbookViewId="0">
      <selection activeCell="O41" sqref="O41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61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30"/>
      <c r="D6">
        <v>1.56</v>
      </c>
      <c r="E6">
        <v>7.27</v>
      </c>
      <c r="F6">
        <v>18.05</v>
      </c>
      <c r="G6">
        <v>22.13</v>
      </c>
      <c r="H6">
        <v>24.334</v>
      </c>
      <c r="I6">
        <v>23.155999999999999</v>
      </c>
      <c r="J6">
        <v>25.13</v>
      </c>
      <c r="K6">
        <v>25.15</v>
      </c>
      <c r="L6">
        <v>26.1</v>
      </c>
      <c r="M6">
        <v>29.18</v>
      </c>
      <c r="N6">
        <v>31.68</v>
      </c>
      <c r="O6">
        <v>32.74</v>
      </c>
      <c r="P6">
        <v>34.68</v>
      </c>
      <c r="Q6">
        <v>38.82</v>
      </c>
      <c r="R6">
        <v>29.24</v>
      </c>
      <c r="S6">
        <v>22.6</v>
      </c>
      <c r="T6">
        <v>20.248000000000001</v>
      </c>
      <c r="U6">
        <v>19.89</v>
      </c>
      <c r="V6">
        <v>18.373999999999999</v>
      </c>
      <c r="W6">
        <v>0.40200000000000002</v>
      </c>
    </row>
    <row r="7" spans="1:37" x14ac:dyDescent="0.3">
      <c r="A7" s="3"/>
      <c r="B7" s="6" t="s">
        <v>2</v>
      </c>
      <c r="C7" s="30"/>
      <c r="D7">
        <v>28.29</v>
      </c>
      <c r="E7">
        <v>18.149999999999999</v>
      </c>
      <c r="F7">
        <v>1.29</v>
      </c>
      <c r="G7">
        <v>-14.86</v>
      </c>
      <c r="H7">
        <v>-25.64</v>
      </c>
      <c r="I7">
        <v>-36.76</v>
      </c>
      <c r="J7">
        <v>-42.87</v>
      </c>
      <c r="K7">
        <v>-49.33</v>
      </c>
      <c r="L7">
        <v>-56.87</v>
      </c>
      <c r="M7">
        <v>-68.36</v>
      </c>
      <c r="N7">
        <v>-77.69</v>
      </c>
      <c r="O7">
        <v>-84.16</v>
      </c>
      <c r="P7">
        <v>-90.1</v>
      </c>
      <c r="Q7">
        <v>-99.233999999999995</v>
      </c>
      <c r="R7">
        <v>-82</v>
      </c>
      <c r="S7">
        <v>-65.48</v>
      </c>
      <c r="T7">
        <v>-47.537999999999997</v>
      </c>
      <c r="U7">
        <v>-26.72</v>
      </c>
      <c r="V7">
        <v>-6.2530000000000001</v>
      </c>
      <c r="W7">
        <v>31.442</v>
      </c>
    </row>
    <row r="8" spans="1:37" x14ac:dyDescent="0.3">
      <c r="A8" s="3"/>
      <c r="B8" s="4" t="s">
        <v>47</v>
      </c>
      <c r="C8" s="30"/>
      <c r="D8">
        <v>622.09299999999996</v>
      </c>
      <c r="E8">
        <v>620.57899999999995</v>
      </c>
      <c r="F8">
        <v>621.33600000000001</v>
      </c>
      <c r="G8">
        <v>621.34</v>
      </c>
      <c r="H8">
        <v>621.33600000000001</v>
      </c>
      <c r="I8">
        <v>620.58000000000004</v>
      </c>
      <c r="J8">
        <v>622.85</v>
      </c>
      <c r="K8">
        <v>622.09299999999996</v>
      </c>
      <c r="L8">
        <v>621.33600000000001</v>
      </c>
      <c r="M8">
        <v>623.04999999999995</v>
      </c>
      <c r="N8">
        <v>623.33600000000001</v>
      </c>
      <c r="O8">
        <v>620.57899999999995</v>
      </c>
      <c r="P8">
        <v>622.85</v>
      </c>
      <c r="Q8">
        <v>621.33600000000001</v>
      </c>
      <c r="R8">
        <v>621.33600000000001</v>
      </c>
      <c r="S8">
        <v>622.09</v>
      </c>
      <c r="T8">
        <v>622.6</v>
      </c>
      <c r="U8">
        <v>622.85</v>
      </c>
      <c r="V8">
        <v>621.33600000000001</v>
      </c>
      <c r="W8">
        <v>620.57899999999995</v>
      </c>
    </row>
    <row r="9" spans="1:37" x14ac:dyDescent="0.3">
      <c r="A9" s="11" t="s">
        <v>7</v>
      </c>
      <c r="B9" s="7" t="s">
        <v>34</v>
      </c>
      <c r="C9" s="31"/>
      <c r="D9" s="1">
        <v>83</v>
      </c>
      <c r="E9" s="1">
        <v>81</v>
      </c>
      <c r="F9" s="1">
        <v>78</v>
      </c>
      <c r="G9" s="1">
        <v>75</v>
      </c>
      <c r="H9" s="1">
        <v>73</v>
      </c>
      <c r="I9" s="1">
        <v>73</v>
      </c>
      <c r="J9" s="1">
        <v>71</v>
      </c>
      <c r="K9" s="1">
        <v>71</v>
      </c>
      <c r="L9" s="1">
        <v>71</v>
      </c>
      <c r="M9" s="1">
        <v>69</v>
      </c>
      <c r="N9" s="1">
        <v>68</v>
      </c>
      <c r="O9" s="1">
        <v>71</v>
      </c>
      <c r="P9" s="1">
        <v>69</v>
      </c>
      <c r="Q9" s="1">
        <v>70</v>
      </c>
      <c r="R9" s="1">
        <v>71</v>
      </c>
      <c r="S9" s="1">
        <v>71</v>
      </c>
      <c r="T9" s="1">
        <v>73.5</v>
      </c>
      <c r="U9" s="1">
        <v>75</v>
      </c>
      <c r="V9" s="1">
        <v>77.5</v>
      </c>
      <c r="W9" s="1">
        <v>84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30"/>
      <c r="D10">
        <v>367</v>
      </c>
      <c r="E10">
        <v>367</v>
      </c>
      <c r="F10">
        <v>382</v>
      </c>
      <c r="G10">
        <v>398</v>
      </c>
      <c r="H10">
        <v>397</v>
      </c>
      <c r="I10">
        <v>403</v>
      </c>
      <c r="J10">
        <v>407</v>
      </c>
      <c r="K10">
        <v>411</v>
      </c>
      <c r="L10">
        <v>416</v>
      </c>
      <c r="M10">
        <v>422</v>
      </c>
      <c r="N10">
        <v>428</v>
      </c>
      <c r="O10">
        <v>428</v>
      </c>
      <c r="P10">
        <v>434</v>
      </c>
      <c r="Q10">
        <v>434</v>
      </c>
      <c r="R10">
        <v>425</v>
      </c>
      <c r="S10">
        <v>420</v>
      </c>
      <c r="T10">
        <v>398</v>
      </c>
      <c r="U10">
        <v>396</v>
      </c>
      <c r="V10">
        <v>386</v>
      </c>
      <c r="W10">
        <v>366</v>
      </c>
    </row>
    <row r="11" spans="1:37" x14ac:dyDescent="0.3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30"/>
    </row>
    <row r="13" spans="1:37" x14ac:dyDescent="0.3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30"/>
      <c r="D14">
        <v>78</v>
      </c>
      <c r="E14">
        <v>61</v>
      </c>
      <c r="F14">
        <v>55</v>
      </c>
      <c r="G14">
        <v>48</v>
      </c>
      <c r="H14">
        <v>38</v>
      </c>
      <c r="I14">
        <v>32</v>
      </c>
      <c r="J14">
        <v>30</v>
      </c>
      <c r="K14">
        <v>30</v>
      </c>
      <c r="L14">
        <v>30</v>
      </c>
      <c r="M14">
        <v>29</v>
      </c>
      <c r="N14">
        <v>28</v>
      </c>
      <c r="O14">
        <v>26</v>
      </c>
      <c r="P14">
        <v>23</v>
      </c>
      <c r="Q14">
        <v>23</v>
      </c>
      <c r="R14">
        <v>24</v>
      </c>
      <c r="S14">
        <v>29</v>
      </c>
      <c r="T14">
        <v>31</v>
      </c>
      <c r="U14">
        <v>35</v>
      </c>
      <c r="V14">
        <v>50</v>
      </c>
      <c r="W14">
        <v>88</v>
      </c>
    </row>
    <row r="15" spans="1:37" x14ac:dyDescent="0.3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0.38934455560856757</v>
      </c>
      <c r="E16" s="16">
        <f t="shared" si="0"/>
        <v>1.8112948210918218</v>
      </c>
      <c r="F16" s="16">
        <f>F6*SIN(RADIANS(F9+5.15))*F13/1000</f>
        <v>4.4750917512529496</v>
      </c>
      <c r="G16" s="16">
        <f t="shared" si="0"/>
        <v>5.4446222516176634</v>
      </c>
      <c r="H16" s="16">
        <f t="shared" si="0"/>
        <v>5.9469453841091626</v>
      </c>
      <c r="I16" s="16">
        <f t="shared" si="0"/>
        <v>5.6590559428960212</v>
      </c>
      <c r="J16" s="16">
        <f t="shared" si="0"/>
        <v>6.0927652115792634</v>
      </c>
      <c r="K16" s="16">
        <f t="shared" si="0"/>
        <v>6.0976142089621366</v>
      </c>
      <c r="L16" s="16">
        <f t="shared" si="0"/>
        <v>6.3279415846485803</v>
      </c>
      <c r="M16" s="16">
        <f t="shared" si="0"/>
        <v>7.0095037627925798</v>
      </c>
      <c r="N16" s="16">
        <f t="shared" si="0"/>
        <v>7.5711771242618884</v>
      </c>
      <c r="O16" s="16">
        <f t="shared" si="0"/>
        <v>7.937808715762241</v>
      </c>
      <c r="P16" s="16">
        <f t="shared" si="0"/>
        <v>8.3306919291859725</v>
      </c>
      <c r="Q16" s="16">
        <f t="shared" si="0"/>
        <v>9.369972199445602</v>
      </c>
      <c r="R16" s="16">
        <f t="shared" si="0"/>
        <v>7.0892341737595572</v>
      </c>
      <c r="S16" s="16">
        <f t="shared" si="0"/>
        <v>5.4793670426458965</v>
      </c>
      <c r="T16" s="16">
        <f t="shared" si="0"/>
        <v>4.957246848957868</v>
      </c>
      <c r="U16" s="16">
        <f t="shared" si="0"/>
        <v>4.8935172428682936</v>
      </c>
      <c r="V16" s="16">
        <f t="shared" si="0"/>
        <v>4.5504713609212226</v>
      </c>
      <c r="W16" s="16">
        <f t="shared" si="0"/>
        <v>0.10037237370560359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tabSelected="1" workbookViewId="0">
      <selection activeCell="L30" sqref="L30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workbookViewId="0">
      <selection activeCell="M18" sqref="M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413</v>
      </c>
      <c r="D3">
        <f>(C3/C2)</f>
        <v>0.86221294363256784</v>
      </c>
      <c r="E3">
        <f>1-D3</f>
        <v>0.13778705636743216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 s="33">
        <v>445</v>
      </c>
      <c r="L10" s="33">
        <v>452</v>
      </c>
      <c r="M10" s="33">
        <v>449</v>
      </c>
      <c r="N10" s="33">
        <v>403</v>
      </c>
      <c r="O10" s="33">
        <v>407</v>
      </c>
      <c r="P10" s="33">
        <v>415</v>
      </c>
      <c r="Q10" s="33">
        <v>430</v>
      </c>
      <c r="R10" s="33">
        <v>438</v>
      </c>
      <c r="S10" s="33">
        <v>450</v>
      </c>
      <c r="T10" s="33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 t="s">
        <v>81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D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85" zoomScaleNormal="85" workbookViewId="0">
      <selection activeCell="U9" sqref="U9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82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84</v>
      </c>
      <c r="O4" s="3"/>
      <c r="Q4" t="s">
        <v>26</v>
      </c>
      <c r="R4" t="s">
        <v>87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 s="33">
        <v>340</v>
      </c>
      <c r="E10" s="33">
        <v>341</v>
      </c>
      <c r="F10" s="33">
        <v>343</v>
      </c>
      <c r="G10" s="33">
        <v>346</v>
      </c>
      <c r="H10" s="33">
        <v>378</v>
      </c>
      <c r="I10" s="33">
        <v>336</v>
      </c>
      <c r="J10" s="33">
        <v>337</v>
      </c>
      <c r="K10" s="33">
        <v>339</v>
      </c>
      <c r="L10" s="33">
        <v>341</v>
      </c>
      <c r="M10" s="33">
        <v>346</v>
      </c>
      <c r="N10" s="33">
        <v>351</v>
      </c>
      <c r="O10" s="33">
        <v>356</v>
      </c>
      <c r="P10" s="33">
        <v>361</v>
      </c>
      <c r="Q10" s="33">
        <v>370</v>
      </c>
      <c r="R10" s="33">
        <v>374</v>
      </c>
      <c r="S10" s="33">
        <v>378</v>
      </c>
      <c r="T10" s="33">
        <v>381</v>
      </c>
      <c r="U10" s="33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83</v>
      </c>
      <c r="N17" s="3"/>
      <c r="O17" s="3"/>
      <c r="Q17" t="s">
        <v>86</v>
      </c>
      <c r="R17" t="s">
        <v>88</v>
      </c>
      <c r="S17" t="s">
        <v>89</v>
      </c>
      <c r="T17" t="s">
        <v>91</v>
      </c>
      <c r="U17" t="s">
        <v>93</v>
      </c>
    </row>
    <row r="18" spans="1:21" x14ac:dyDescent="0.3">
      <c r="A18" s="3"/>
      <c r="B18" t="s">
        <v>72</v>
      </c>
      <c r="H18" t="s">
        <v>85</v>
      </c>
      <c r="S18" t="s">
        <v>90</v>
      </c>
      <c r="T18" t="s">
        <v>92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</row>
    <row r="22" spans="1:21" x14ac:dyDescent="0.3">
      <c r="A22" s="3"/>
      <c r="B22" s="3"/>
    </row>
    <row r="23" spans="1:21" x14ac:dyDescent="0.3">
      <c r="A23" s="3"/>
      <c r="B23" s="3"/>
    </row>
    <row r="24" spans="1:21" x14ac:dyDescent="0.3">
      <c r="A24" s="3"/>
      <c r="B24" s="3"/>
    </row>
    <row r="25" spans="1:21" x14ac:dyDescent="0.3">
      <c r="A25" s="3"/>
      <c r="B25" s="3"/>
    </row>
    <row r="26" spans="1:21" x14ac:dyDescent="0.3">
      <c r="A26" s="3"/>
      <c r="B26" s="3"/>
    </row>
    <row r="27" spans="1:21" x14ac:dyDescent="0.3">
      <c r="A27" s="3"/>
      <c r="B27" s="34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FlxTest10mm_1</vt:lpstr>
      <vt:lpstr>FlxTest10mm_2</vt:lpstr>
      <vt:lpstr>FlxTest10mm_3</vt:lpstr>
      <vt:lpstr>FlxTest10mm_4</vt:lpstr>
      <vt:lpstr>FlxTest10mm_5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2026-07-22T23:32:31Z</dcterms:modified>
</cp:coreProperties>
</file>