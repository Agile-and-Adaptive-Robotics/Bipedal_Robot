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ze\Documents\GitHub\Bipedal_Robot\Testing_Data\2026_06_Festo\"/>
    </mc:Choice>
  </mc:AlternateContent>
  <xr:revisionPtr revIDLastSave="0" documentId="13_ncr:1_{47A61D5E-CF01-454E-842A-CF85E4BA88EF}" xr6:coauthVersionLast="47" xr6:coauthVersionMax="47" xr10:uidLastSave="{00000000-0000-0000-0000-000000000000}"/>
  <bookViews>
    <workbookView xWindow="26685" yWindow="-16200" windowWidth="14610" windowHeight="15585" firstSheet="9" activeTab="11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FlxTest10mm_1" sheetId="7" r:id="rId13"/>
    <sheet name="FlxTest10mm_2" sheetId="8" r:id="rId14"/>
    <sheet name="FlxTest10mm_3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2" l="1"/>
  <c r="E3" i="22" s="1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<sst xmlns="http://schemas.openxmlformats.org/spreadsheetml/2006/main" count="330" uniqueCount="79">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</sst>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4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3" fillId="5" borderId="0" xfId="1" applyFont="1" applyFill="1"/>
    <xf numFmtId="0" fontId="3" fillId="5" borderId="8" xfId="1" applyFont="1" applyFill="1" applyBorder="1"/>
    <xf numFmtId="0" fontId="2" fillId="5" borderId="10" xfId="1" applyFill="1" applyBorder="1"/>
    <xf numFmtId="0" fontId="0" fillId="0" borderId="0" xfId="0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18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5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5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5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5">
      <c r="C17" t="s">
        <v>20</v>
      </c>
    </row>
    <row r="18" spans="3:24" x14ac:dyDescent="0.35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5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5">
      <c r="C20" t="s">
        <v>45</v>
      </c>
    </row>
    <row r="21" spans="3:24" x14ac:dyDescent="0.35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5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5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5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5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457</v>
      </c>
      <c r="F2" t="s">
        <v>22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380</v>
      </c>
      <c r="D4">
        <f>1-C4/C2</f>
        <v>0.16849015317286653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5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5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21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  <c r="D4">
        <f>1-398/486</f>
        <v>0.18106995884773658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5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5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415</v>
      </c>
      <c r="F2" t="s">
        <v>18</v>
      </c>
    </row>
    <row r="3" spans="1:36" x14ac:dyDescent="0.35">
      <c r="B3" s="3" t="s">
        <v>14</v>
      </c>
      <c r="C3">
        <f>C2-C2*0.17</f>
        <v>344.45</v>
      </c>
      <c r="F3" t="s">
        <v>28</v>
      </c>
    </row>
    <row r="4" spans="1:36" x14ac:dyDescent="0.35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5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5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U16" t="s">
        <v>23</v>
      </c>
      <c r="AB16" t="s">
        <v>25</v>
      </c>
    </row>
    <row r="17" spans="17:29" x14ac:dyDescent="0.35">
      <c r="AB17">
        <v>2.2241</v>
      </c>
    </row>
    <row r="18" spans="17:29" x14ac:dyDescent="0.35">
      <c r="AC18" t="s">
        <v>27</v>
      </c>
    </row>
    <row r="24" spans="17:29" x14ac:dyDescent="0.35">
      <c r="Q24" t="s">
        <v>44</v>
      </c>
    </row>
    <row r="25" spans="17:29" x14ac:dyDescent="0.35">
      <c r="Q25" t="s">
        <v>42</v>
      </c>
      <c r="R25">
        <v>630</v>
      </c>
      <c r="S25">
        <v>-1.4999999999999999E-2</v>
      </c>
    </row>
    <row r="26" spans="17:29" x14ac:dyDescent="0.35">
      <c r="Q26" t="s">
        <v>43</v>
      </c>
      <c r="R26">
        <v>-1.4999999999999999E-2</v>
      </c>
      <c r="S26">
        <v>0</v>
      </c>
    </row>
    <row r="27" spans="17:29" x14ac:dyDescent="0.35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17" x14ac:dyDescent="0.35">
      <c r="A1" s="3" t="s">
        <v>38</v>
      </c>
    </row>
    <row r="2" spans="1:17" x14ac:dyDescent="0.35">
      <c r="A2" s="3" t="s">
        <v>5</v>
      </c>
      <c r="C2">
        <v>415</v>
      </c>
      <c r="E2" t="s">
        <v>37</v>
      </c>
    </row>
    <row r="3" spans="1:17" x14ac:dyDescent="0.35">
      <c r="A3" s="3" t="s">
        <v>36</v>
      </c>
      <c r="C3">
        <v>350</v>
      </c>
    </row>
    <row r="4" spans="1:17" x14ac:dyDescent="0.35">
      <c r="A4" s="3" t="s">
        <v>35</v>
      </c>
      <c r="C4" t="s">
        <v>40</v>
      </c>
      <c r="L4" t="s">
        <v>16</v>
      </c>
    </row>
    <row r="5" spans="1:17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5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5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5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5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5">
      <c r="A10" s="11" t="s">
        <v>8</v>
      </c>
      <c r="B10" s="7" t="s">
        <v>9</v>
      </c>
    </row>
    <row r="11" spans="1:17" x14ac:dyDescent="0.35">
      <c r="A11" s="12"/>
      <c r="B11" s="8" t="s">
        <v>33</v>
      </c>
    </row>
    <row r="12" spans="1:17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5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5">
      <c r="A14" s="13"/>
      <c r="B14" s="9" t="s">
        <v>4</v>
      </c>
    </row>
    <row r="15" spans="1:17" x14ac:dyDescent="0.35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5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1" x14ac:dyDescent="0.35">
      <c r="A1" s="3" t="s">
        <v>66</v>
      </c>
    </row>
    <row r="2" spans="1:31" x14ac:dyDescent="0.35">
      <c r="A2" s="3" t="s">
        <v>5</v>
      </c>
      <c r="C2">
        <v>415</v>
      </c>
      <c r="E2" t="s">
        <v>37</v>
      </c>
    </row>
    <row r="3" spans="1:31" x14ac:dyDescent="0.35">
      <c r="A3" s="3" t="s">
        <v>36</v>
      </c>
      <c r="C3">
        <v>350</v>
      </c>
    </row>
    <row r="4" spans="1:31" x14ac:dyDescent="0.35">
      <c r="A4" s="3" t="s">
        <v>35</v>
      </c>
      <c r="C4" t="s">
        <v>40</v>
      </c>
    </row>
    <row r="5" spans="1:31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5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5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5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5">
      <c r="A10" s="11" t="s">
        <v>8</v>
      </c>
      <c r="B10" s="7" t="s">
        <v>9</v>
      </c>
    </row>
    <row r="11" spans="1:31" x14ac:dyDescent="0.35">
      <c r="A11" s="12"/>
      <c r="B11" s="8" t="s">
        <v>33</v>
      </c>
    </row>
    <row r="12" spans="1:31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5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5">
      <c r="A14" s="13"/>
      <c r="B14" s="9" t="s">
        <v>4</v>
      </c>
    </row>
    <row r="15" spans="1:31" x14ac:dyDescent="0.35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</cols>
  <sheetData>
    <row r="1" spans="1:31" x14ac:dyDescent="0.35">
      <c r="A1" s="3" t="s">
        <v>65</v>
      </c>
    </row>
    <row r="2" spans="1:31" x14ac:dyDescent="0.35">
      <c r="A2" s="3" t="s">
        <v>5</v>
      </c>
      <c r="C2">
        <v>403</v>
      </c>
      <c r="E2" t="s">
        <v>46</v>
      </c>
    </row>
    <row r="3" spans="1:31" x14ac:dyDescent="0.35">
      <c r="A3" s="3" t="s">
        <v>36</v>
      </c>
      <c r="C3">
        <v>345</v>
      </c>
    </row>
    <row r="4" spans="1:31" x14ac:dyDescent="0.35">
      <c r="A4" s="3" t="s">
        <v>35</v>
      </c>
      <c r="C4">
        <v>0</v>
      </c>
      <c r="H4" t="s">
        <v>49</v>
      </c>
    </row>
    <row r="5" spans="1:31" s="10" customFormat="1" x14ac:dyDescent="0.35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5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5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5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5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5">
      <c r="A11" s="11" t="s">
        <v>8</v>
      </c>
      <c r="B11" s="7" t="s">
        <v>9</v>
      </c>
      <c r="C11" s="24"/>
    </row>
    <row r="12" spans="1:31" x14ac:dyDescent="0.35">
      <c r="A12" s="12"/>
      <c r="B12" s="8" t="s">
        <v>33</v>
      </c>
      <c r="C12" s="23"/>
    </row>
    <row r="13" spans="1:31" x14ac:dyDescent="0.35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5">
      <c r="A15" s="13"/>
      <c r="B15" s="9" t="s">
        <v>4</v>
      </c>
      <c r="C15" s="25"/>
    </row>
    <row r="16" spans="1:31" s="28" customFormat="1" x14ac:dyDescent="0.35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5" x14ac:dyDescent="0.35"/>
  <cols>
    <col min="1" max="1" width="8.8164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  <col min="14" max="14" width="14.90625" bestFit="1" customWidth="1"/>
  </cols>
  <sheetData>
    <row r="1" spans="1:31" x14ac:dyDescent="0.35">
      <c r="A1" s="3" t="s">
        <v>64</v>
      </c>
    </row>
    <row r="2" spans="1:31" x14ac:dyDescent="0.35">
      <c r="A2" s="3" t="s">
        <v>5</v>
      </c>
      <c r="C2">
        <v>408</v>
      </c>
      <c r="E2" t="s">
        <v>46</v>
      </c>
    </row>
    <row r="3" spans="1:31" x14ac:dyDescent="0.35">
      <c r="A3" s="3" t="s">
        <v>36</v>
      </c>
      <c r="C3">
        <v>342</v>
      </c>
    </row>
    <row r="4" spans="1:31" x14ac:dyDescent="0.35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5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5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5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5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63</v>
      </c>
    </row>
    <row r="2" spans="1:31" x14ac:dyDescent="0.35">
      <c r="A2" s="3" t="s">
        <v>5</v>
      </c>
      <c r="C2">
        <v>400</v>
      </c>
      <c r="E2" t="s">
        <v>46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5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5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5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62</v>
      </c>
    </row>
    <row r="2" spans="1:31" x14ac:dyDescent="0.35">
      <c r="A2" s="3" t="s">
        <v>5</v>
      </c>
      <c r="C2">
        <v>400</v>
      </c>
      <c r="E2" t="s">
        <v>58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5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5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5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5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L17" t="s">
        <v>55</v>
      </c>
      <c r="N17" s="3" t="s">
        <v>56</v>
      </c>
      <c r="O17" s="3" t="s">
        <v>57</v>
      </c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Y45" sqref="Y45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61</v>
      </c>
    </row>
    <row r="2" spans="1:31" x14ac:dyDescent="0.35">
      <c r="A2" s="3" t="s">
        <v>5</v>
      </c>
      <c r="C2">
        <v>432</v>
      </c>
      <c r="E2" t="s">
        <v>58</v>
      </c>
    </row>
    <row r="3" spans="1:31" x14ac:dyDescent="0.35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5">
      <c r="A4" s="3" t="s">
        <v>35</v>
      </c>
      <c r="C4">
        <v>22</v>
      </c>
      <c r="E4" t="s">
        <v>59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5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5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5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5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  <row r="27" spans="2:15" x14ac:dyDescent="0.35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tabSelected="1" topLeftCell="M1" zoomScale="76" workbookViewId="0">
      <selection activeCell="W15" sqref="W15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61</v>
      </c>
      <c r="B1" s="3"/>
    </row>
    <row r="2" spans="1:37" x14ac:dyDescent="0.35">
      <c r="A2" s="3" t="s">
        <v>71</v>
      </c>
      <c r="B2" s="3"/>
      <c r="C2">
        <v>436</v>
      </c>
      <c r="E2" t="s">
        <v>68</v>
      </c>
    </row>
    <row r="3" spans="1:37" x14ac:dyDescent="0.35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5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30"/>
      <c r="D6">
        <v>1.56</v>
      </c>
      <c r="E6">
        <v>7.27</v>
      </c>
      <c r="F6">
        <v>18.05</v>
      </c>
      <c r="G6">
        <v>22.13</v>
      </c>
      <c r="H6">
        <v>24.334</v>
      </c>
      <c r="I6">
        <v>23.155999999999999</v>
      </c>
      <c r="J6">
        <v>25.13</v>
      </c>
      <c r="K6">
        <v>25.15</v>
      </c>
      <c r="L6">
        <v>26.1</v>
      </c>
      <c r="M6">
        <v>29.18</v>
      </c>
      <c r="N6">
        <v>31.68</v>
      </c>
      <c r="O6">
        <v>32.74</v>
      </c>
      <c r="P6">
        <v>34.68</v>
      </c>
      <c r="Q6">
        <v>38.82</v>
      </c>
      <c r="R6">
        <v>29.24</v>
      </c>
      <c r="S6">
        <v>22.6</v>
      </c>
      <c r="T6">
        <v>20.248000000000001</v>
      </c>
      <c r="U6">
        <v>19.89</v>
      </c>
      <c r="V6">
        <v>18.373999999999999</v>
      </c>
      <c r="W6">
        <v>0.40200000000000002</v>
      </c>
    </row>
    <row r="7" spans="1:37" x14ac:dyDescent="0.35">
      <c r="A7" s="3"/>
      <c r="B7" s="6" t="s">
        <v>2</v>
      </c>
      <c r="C7" s="30"/>
      <c r="D7">
        <v>28.29</v>
      </c>
      <c r="E7">
        <v>18.149999999999999</v>
      </c>
      <c r="F7">
        <v>1.29</v>
      </c>
      <c r="G7">
        <v>-14.86</v>
      </c>
      <c r="H7">
        <v>-25.64</v>
      </c>
      <c r="I7">
        <v>-36.76</v>
      </c>
      <c r="J7">
        <v>-42.87</v>
      </c>
      <c r="K7">
        <v>-49.33</v>
      </c>
      <c r="L7">
        <v>-56.87</v>
      </c>
      <c r="M7">
        <v>-68.36</v>
      </c>
      <c r="N7">
        <v>-77.69</v>
      </c>
      <c r="O7">
        <v>-84.16</v>
      </c>
      <c r="P7">
        <v>-90.1</v>
      </c>
      <c r="Q7">
        <v>-99.233999999999995</v>
      </c>
      <c r="R7">
        <v>-82</v>
      </c>
      <c r="S7">
        <v>-65.48</v>
      </c>
      <c r="T7">
        <v>-47.537999999999997</v>
      </c>
      <c r="U7">
        <v>-26.72</v>
      </c>
      <c r="V7">
        <v>-6.2530000000000001</v>
      </c>
      <c r="W7">
        <v>31.442</v>
      </c>
    </row>
    <row r="8" spans="1:37" x14ac:dyDescent="0.35">
      <c r="A8" s="3"/>
      <c r="B8" s="4" t="s">
        <v>47</v>
      </c>
      <c r="C8" s="30"/>
      <c r="D8">
        <v>622.09299999999996</v>
      </c>
      <c r="E8">
        <v>620.57899999999995</v>
      </c>
      <c r="F8">
        <v>621.33600000000001</v>
      </c>
      <c r="G8">
        <v>621.34</v>
      </c>
      <c r="H8">
        <v>621.33600000000001</v>
      </c>
      <c r="I8">
        <v>620.58000000000004</v>
      </c>
      <c r="J8">
        <v>622.85</v>
      </c>
      <c r="K8">
        <v>622.09299999999996</v>
      </c>
      <c r="L8">
        <v>621.33600000000001</v>
      </c>
      <c r="M8">
        <v>623.04999999999995</v>
      </c>
      <c r="N8">
        <v>623.33600000000001</v>
      </c>
      <c r="O8">
        <v>620.57899999999995</v>
      </c>
      <c r="P8">
        <v>622.85</v>
      </c>
      <c r="Q8">
        <v>621.33600000000001</v>
      </c>
      <c r="R8">
        <v>621.33600000000001</v>
      </c>
      <c r="S8">
        <v>622.09</v>
      </c>
      <c r="T8">
        <v>622.6</v>
      </c>
      <c r="U8">
        <v>622.85</v>
      </c>
      <c r="V8">
        <v>621.33600000000001</v>
      </c>
      <c r="W8">
        <v>620.57899999999995</v>
      </c>
    </row>
    <row r="9" spans="1:37" x14ac:dyDescent="0.35">
      <c r="A9" s="11" t="s">
        <v>7</v>
      </c>
      <c r="B9" s="7" t="s">
        <v>34</v>
      </c>
      <c r="C9" s="31"/>
      <c r="D9" s="1">
        <v>83</v>
      </c>
      <c r="E9" s="1">
        <v>81</v>
      </c>
      <c r="F9" s="1">
        <v>78</v>
      </c>
      <c r="G9" s="1">
        <v>75</v>
      </c>
      <c r="H9" s="1">
        <v>73</v>
      </c>
      <c r="I9" s="1">
        <v>73</v>
      </c>
      <c r="J9" s="1">
        <v>71</v>
      </c>
      <c r="K9" s="1">
        <v>71</v>
      </c>
      <c r="L9" s="1">
        <v>71</v>
      </c>
      <c r="M9" s="1">
        <v>69</v>
      </c>
      <c r="N9" s="1">
        <v>68</v>
      </c>
      <c r="O9" s="1">
        <v>71</v>
      </c>
      <c r="P9" s="1">
        <v>69</v>
      </c>
      <c r="Q9" s="1">
        <v>70</v>
      </c>
      <c r="R9" s="1">
        <v>71</v>
      </c>
      <c r="S9" s="1">
        <v>71</v>
      </c>
      <c r="T9" s="1">
        <v>73.5</v>
      </c>
      <c r="U9" s="1">
        <v>75</v>
      </c>
      <c r="V9" s="1">
        <v>77.5</v>
      </c>
      <c r="W9" s="1">
        <v>84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30"/>
      <c r="D10" s="33">
        <v>367</v>
      </c>
      <c r="E10" s="33">
        <v>367</v>
      </c>
      <c r="F10" s="33">
        <v>382</v>
      </c>
      <c r="G10" s="33">
        <v>398</v>
      </c>
      <c r="H10" s="33">
        <v>397</v>
      </c>
      <c r="I10" s="33">
        <v>403</v>
      </c>
      <c r="J10" s="33">
        <v>407</v>
      </c>
      <c r="K10" s="33">
        <v>411</v>
      </c>
      <c r="L10" s="33">
        <v>416</v>
      </c>
      <c r="M10" s="33">
        <v>422</v>
      </c>
      <c r="N10" s="33">
        <v>428</v>
      </c>
      <c r="O10" s="33">
        <v>428</v>
      </c>
      <c r="P10" s="33">
        <v>434</v>
      </c>
      <c r="Q10" s="33">
        <v>434</v>
      </c>
      <c r="R10" s="33">
        <v>425</v>
      </c>
      <c r="S10" s="33">
        <v>420</v>
      </c>
      <c r="T10" s="33">
        <v>398</v>
      </c>
      <c r="U10" s="33">
        <v>396</v>
      </c>
      <c r="V10" s="33">
        <v>386</v>
      </c>
      <c r="W10" s="33">
        <v>366</v>
      </c>
    </row>
    <row r="11" spans="1:37" x14ac:dyDescent="0.35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30"/>
    </row>
    <row r="13" spans="1:37" x14ac:dyDescent="0.35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30"/>
      <c r="D14">
        <v>78</v>
      </c>
      <c r="E14">
        <v>61</v>
      </c>
      <c r="F14">
        <v>55</v>
      </c>
      <c r="G14">
        <v>48</v>
      </c>
      <c r="H14">
        <v>38</v>
      </c>
      <c r="I14">
        <v>32</v>
      </c>
      <c r="J14">
        <v>30</v>
      </c>
      <c r="K14">
        <v>30</v>
      </c>
      <c r="L14">
        <v>30</v>
      </c>
      <c r="M14">
        <v>29</v>
      </c>
      <c r="N14">
        <v>28</v>
      </c>
      <c r="O14">
        <v>26</v>
      </c>
      <c r="P14">
        <v>23</v>
      </c>
      <c r="Q14">
        <v>23</v>
      </c>
      <c r="R14">
        <v>24</v>
      </c>
      <c r="S14">
        <v>29</v>
      </c>
      <c r="T14">
        <v>31</v>
      </c>
      <c r="U14">
        <v>35</v>
      </c>
      <c r="V14">
        <v>50</v>
      </c>
      <c r="W14">
        <v>88</v>
      </c>
    </row>
    <row r="15" spans="1:37" x14ac:dyDescent="0.35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0.38934455560856757</v>
      </c>
      <c r="E16" s="16">
        <f t="shared" si="0"/>
        <v>1.8112948210918218</v>
      </c>
      <c r="F16" s="16">
        <f>F6*SIN(RADIANS(F9+5.15))*F13/1000</f>
        <v>4.4750917512529496</v>
      </c>
      <c r="G16" s="16">
        <f t="shared" si="0"/>
        <v>5.4446222516176634</v>
      </c>
      <c r="H16" s="16">
        <f t="shared" si="0"/>
        <v>5.9469453841091626</v>
      </c>
      <c r="I16" s="16">
        <f t="shared" si="0"/>
        <v>5.6590559428960212</v>
      </c>
      <c r="J16" s="16">
        <f t="shared" si="0"/>
        <v>6.0927652115792634</v>
      </c>
      <c r="K16" s="16">
        <f t="shared" si="0"/>
        <v>6.0976142089621366</v>
      </c>
      <c r="L16" s="16">
        <f t="shared" si="0"/>
        <v>6.3279415846485803</v>
      </c>
      <c r="M16" s="16">
        <f t="shared" si="0"/>
        <v>7.0095037627925798</v>
      </c>
      <c r="N16" s="16">
        <f t="shared" si="0"/>
        <v>7.5711771242618884</v>
      </c>
      <c r="O16" s="16">
        <f t="shared" si="0"/>
        <v>7.937808715762241</v>
      </c>
      <c r="P16" s="16">
        <f t="shared" si="0"/>
        <v>8.3306919291859725</v>
      </c>
      <c r="Q16" s="16">
        <f t="shared" si="0"/>
        <v>9.369972199445602</v>
      </c>
      <c r="R16" s="16">
        <f t="shared" si="0"/>
        <v>7.0892341737595572</v>
      </c>
      <c r="S16" s="16">
        <f t="shared" si="0"/>
        <v>5.4793670426458965</v>
      </c>
      <c r="T16" s="16">
        <f t="shared" si="0"/>
        <v>4.957246848957868</v>
      </c>
      <c r="U16" s="16">
        <f t="shared" si="0"/>
        <v>4.8935172428682936</v>
      </c>
      <c r="V16" s="16">
        <f t="shared" si="0"/>
        <v>4.5504713609212226</v>
      </c>
      <c r="W16" s="16">
        <f t="shared" si="0"/>
        <v>0.10037237370560359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C13" sqref="C13:AD13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18</v>
      </c>
    </row>
    <row r="3" spans="1:36" x14ac:dyDescent="0.35">
      <c r="B3" s="3" t="s">
        <v>14</v>
      </c>
      <c r="C3">
        <f>C2-C2*0.17</f>
        <v>402.55</v>
      </c>
    </row>
    <row r="4" spans="1:36" x14ac:dyDescent="0.35">
      <c r="B4" s="3" t="s">
        <v>17</v>
      </c>
      <c r="C4">
        <v>398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5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5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5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5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21</v>
      </c>
    </row>
    <row r="3" spans="1:36" x14ac:dyDescent="0.35">
      <c r="B3" s="3" t="s">
        <v>14</v>
      </c>
      <c r="C3">
        <f>C2-C2*0.17</f>
        <v>402.55</v>
      </c>
      <c r="F3" t="s">
        <v>41</v>
      </c>
    </row>
    <row r="4" spans="1:36" x14ac:dyDescent="0.35">
      <c r="B4" s="3" t="s">
        <v>17</v>
      </c>
      <c r="C4">
        <v>398</v>
      </c>
      <c r="L4" t="s">
        <v>16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5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5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L16" t="s">
        <v>19</v>
      </c>
    </row>
    <row r="29" spans="18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457</v>
      </c>
      <c r="F2" t="s">
        <v>18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384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5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5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5">
      <c r="J18">
        <f>1-348/457</f>
        <v>0.23851203501094087</v>
      </c>
    </row>
    <row r="29" spans="10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FlxTest10mm_1</vt:lpstr>
      <vt:lpstr>FlxTest10mm_2</vt:lpstr>
      <vt:lpstr>FlxTest10mm_3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Mohammad Elzein</cp:lastModifiedBy>
  <dcterms:created xsi:type="dcterms:W3CDTF">2021-05-24T00:23:13Z</dcterms:created>
  <dcterms:modified xsi:type="dcterms:W3CDTF">2026-07-22T05:22:55Z</dcterms:modified>
</cp:coreProperties>
</file>