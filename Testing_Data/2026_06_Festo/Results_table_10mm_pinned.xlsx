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6_06_Festo\"/>
    </mc:Choice>
  </mc:AlternateContent>
  <xr:revisionPtr revIDLastSave="0" documentId="13_ncr:1_{0054F3F2-613A-47F6-A79F-5F8B4D31CCDF}" xr6:coauthVersionLast="47" xr6:coauthVersionMax="47" xr10:uidLastSave="{00000000-0000-0000-0000-000000000000}"/>
  <bookViews>
    <workbookView xWindow="-108" yWindow="-108" windowWidth="23256" windowHeight="12456" firstSheet="13" activeTab="18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ExtTest10mm_13" sheetId="25" r:id="rId13"/>
    <sheet name="FlxTest10mm_1" sheetId="7" r:id="rId14"/>
    <sheet name="FlxTest10mm_2" sheetId="8" r:id="rId15"/>
    <sheet name="FlxTest10mm_3" sheetId="15" r:id="rId16"/>
    <sheet name="FlxTest10mm_4" sheetId="23" r:id="rId17"/>
    <sheet name="FlxTest10mm_5" sheetId="24" r:id="rId18"/>
    <sheet name="FlxTest10mm_6" sheetId="26" r:id="rId19"/>
    <sheet name="FlxTest10mm_7" sheetId="27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27" l="1"/>
  <c r="N22" i="27"/>
  <c r="M22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D3" i="27"/>
  <c r="E3" i="27" s="1"/>
  <c r="V19" i="26"/>
  <c r="M25" i="26" l="1"/>
  <c r="N22" i="26"/>
  <c r="M22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D3" i="26"/>
  <c r="E3" i="26" s="1"/>
  <c r="N22" i="14"/>
  <c r="M22" i="14"/>
  <c r="N22" i="16"/>
  <c r="P22" i="18"/>
  <c r="P22" i="19"/>
  <c r="Q22" i="20"/>
  <c r="R22" i="21"/>
  <c r="R25" i="22"/>
  <c r="N22" i="24"/>
  <c r="M22" i="24"/>
  <c r="O22" i="23"/>
  <c r="N22" i="23"/>
  <c r="N22" i="15"/>
  <c r="M22" i="15"/>
  <c r="N22" i="8"/>
  <c r="M22" i="8"/>
  <c r="N22" i="7"/>
  <c r="M22" i="7"/>
  <c r="R25" i="25"/>
  <c r="O22" i="12"/>
  <c r="M22" i="13"/>
  <c r="M22" i="11"/>
  <c r="S22" i="10"/>
  <c r="AB22" i="9"/>
  <c r="L22" i="13" l="1"/>
  <c r="M22" i="16"/>
  <c r="L22" i="16"/>
  <c r="O22" i="18"/>
  <c r="N22" i="18"/>
  <c r="N22" i="12"/>
  <c r="K22" i="11"/>
  <c r="Z22" i="9"/>
  <c r="Q22" i="10"/>
  <c r="O22" i="19"/>
  <c r="P22" i="20"/>
  <c r="Q22" i="21"/>
  <c r="Q25" i="22"/>
  <c r="Q25" i="25"/>
  <c r="P25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L14" i="25"/>
  <c r="D3" i="25"/>
  <c r="E3" i="25" s="1"/>
  <c r="M25" i="24"/>
  <c r="M22" i="23"/>
  <c r="N22" i="19"/>
  <c r="N22" i="20"/>
  <c r="O25" i="22"/>
  <c r="O22" i="21"/>
  <c r="N16" i="24"/>
  <c r="O16" i="24"/>
  <c r="P16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D16" i="24"/>
  <c r="E16" i="24"/>
  <c r="F16" i="24"/>
  <c r="G16" i="24"/>
  <c r="H16" i="24"/>
  <c r="I16" i="24"/>
  <c r="J16" i="24"/>
  <c r="K16" i="24"/>
  <c r="L16" i="24"/>
  <c r="M16" i="24"/>
  <c r="C16" i="24"/>
  <c r="D3" i="24"/>
  <c r="E3" i="24" s="1"/>
  <c r="K16" i="23" l="1"/>
  <c r="D16" i="23"/>
  <c r="E16" i="23"/>
  <c r="F16" i="23"/>
  <c r="G16" i="23"/>
  <c r="H16" i="23"/>
  <c r="I16" i="23"/>
  <c r="J16" i="23"/>
  <c r="C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D3" i="23"/>
  <c r="E3" i="23" s="1"/>
  <c r="D3" i="22"/>
  <c r="E3" i="22" s="1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7404540-41ED-4CFC-A34A-B0C06D36E4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D23BCFD-5D0D-499D-B1BC-4D31A41743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4C2BEB3-8987-42FD-9240-D19AB0F3395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19279C5-5896-4658-A891-94E7656E0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tc={EDD4A2EB-AC41-41F5-AEBA-BA83D6D066BB}</author>
    <author>tc={E30E01B8-EB61-46FD-9E73-DB8665781EAE}</author>
    <author>tc={FBA43358-59F0-4FFB-BDC7-3AEDE0ADFC53}</author>
    <author>tc={29559212-EFFD-4F4F-810E-B5C644E22194}</author>
    <author>tc={09557C74-D39F-48D9-9B0F-33C529B18E89}</author>
  </authors>
  <commentList>
    <comment ref="C2" authorId="0" shapeId="0" xr:uid="{EDD4A2EB-AC41-41F5-AEBA-BA83D6D066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Recheck after test
Reply:
    Moe had it originally at 465
</t>
      </text>
    </comment>
    <comment ref="C3" authorId="1" shapeId="0" xr:uid="{E30E01B8-EB61-46FD-9E73-DB8665781E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
Reply:
    Moe had it originally at 401</t>
      </text>
    </comment>
    <comment ref="D3" authorId="2" shapeId="0" xr:uid="{FBA43358-59F0-4FFB-BDC7-3AEDE0ADFC53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29559212-EFFD-4F4F-810E-B5C644E22194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09557C74-D39F-48D9-9B0F-33C529B18E89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tc={B3DD3E36-DE23-4526-822F-7544076C12AF}</author>
    <author>tc={44F69930-AA26-4737-9556-6F232E8AC193}</author>
    <author>tc={6E9C7D1B-6D13-4A15-A63C-B49E3DDDDD72}</author>
    <author>tc={A117DFD4-25AF-41A6-9D26-99F7C9197E59}</author>
    <author>tc={70F2E1CB-BEA3-46AD-8012-48E9D04ADA3E}</author>
  </authors>
  <commentList>
    <comment ref="C2" authorId="0" shapeId="0" xr:uid="{B3DD3E36-DE23-4526-822F-7544076C12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44F69930-AA26-4737-9556-6F232E8AC1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6E9C7D1B-6D13-4A15-A63C-B49E3DDDDD72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A117DFD4-25AF-41A6-9D26-99F7C9197E5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70F2E1CB-BEA3-46AD-8012-48E9D04ADA3E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tc={1412A674-61A3-4D66-9D3E-5374366576D7}</author>
    <author>tc={7BAEFA08-D790-466D-A190-320CBA26570E}</author>
    <author>tc={E1852E19-B84C-463E-A0CB-BF0ADA1DC1BE}</author>
    <author>tc={13B25287-2F50-4E04-AC48-02AB262B1DE9}</author>
    <author>tc={50243B4E-1A69-4602-BC70-D861CF3BE17E}</author>
  </authors>
  <commentList>
    <comment ref="C2" authorId="0" shapeId="0" xr:uid="{1412A674-61A3-4D66-9D3E-5374366576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7BAEFA08-D790-466D-A190-320CBA2657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E1852E19-B84C-463E-A0CB-BF0ADA1DC1BE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13B25287-2F50-4E04-AC48-02AB262B1DE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50243B4E-1A69-4602-BC70-D861CF3BE17E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tc={F2916077-4F60-4815-AACB-36F540965802}</author>
    <author>tc={D38AB9F1-0008-44E2-9AA2-442694BB58A1}</author>
    <author>tc={8BAEE42B-9536-417D-B6B2-DB5320F80125}</author>
    <author>tc={D29CCFA0-C50E-48A0-9F07-9CBB4F001241}</author>
    <author>tc={E616D17E-2271-4A96-95EA-0FDB020E98C3}</author>
  </authors>
  <commentList>
    <comment ref="C2" authorId="0" shapeId="0" xr:uid="{F2916077-4F60-4815-AACB-36F5409658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D38AB9F1-0008-44E2-9AA2-442694BB58A1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8BAEE42B-9536-417D-B6B2-DB5320F80125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D29CCFA0-C50E-48A0-9F07-9CBB4F001241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E616D17E-2271-4A96-95EA-0FDB020E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tc={9AA8AD60-DE11-48B5-880C-2CCB45861899}</author>
    <author>tc={E755D6F7-2EEF-478D-A020-90D4294A3ECE}</author>
    <author>tc={1C40D3B8-BABA-47B6-BDD9-D22111829239}</author>
    <author>tc={9EA52FCB-FEBF-4E8B-B6D0-56B012E0978E}</author>
    <author>tc={E990C728-1545-4F94-A65C-CF60D8224868}</author>
    <author>tc={D96C6B4A-6774-4EBB-B219-C5959025303E}</author>
    <author>tc={701EEFB9-267B-45F6-8252-91563326FAC1}</author>
  </authors>
  <commentList>
    <comment ref="C2" authorId="0" shapeId="0" xr:uid="{9AA8AD60-DE11-48B5-880C-2CCB458618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E755D6F7-2EEF-478D-A020-90D4294A3E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C40D3B8-BABA-47B6-BDD9-D2211182923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9EA52FCB-FEBF-4E8B-B6D0-56B012E0978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E990C728-1545-4F94-A65C-CF60D8224868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  <comment ref="C7" authorId="5" shapeId="0" xr:uid="{D96C6B4A-6774-4EBB-B219-C5959025303E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Originally read -106 but corrected by 3 degrees.</t>
      </text>
    </comment>
    <comment ref="X18" authorId="6" shapeId="0" xr:uid="{701EEFB9-267B-45F6-8252-91563326FAC1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Actually 410?</t>
      </text>
    </comment>
  </commentList>
</comments>
</file>

<file path=xl/sharedStrings.xml><?xml version="1.0" encoding="utf-8"?>
<sst xmlns="http://schemas.openxmlformats.org/spreadsheetml/2006/main" count="520" uniqueCount="118">
  <si>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</si>
  <si>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</si>
  <si>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</si>
  <si>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</si>
  <si>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</si>
  <si>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</si>
  <si>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</si>
  <si>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</si>
  <si>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</si>
  <si>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</si>
  <si>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</si>
  <si>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</si>
  <si>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</si>
  <si>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</si>
  <si>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</si>
  <si>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</si>
  <si>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</si>
  <si>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</si>
  <si>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</si>
  <si>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</si>
  <si>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</si>
  <si>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</si>
  <si>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</si>
  <si>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</si>
  <si>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</si>
  <si>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</si>
  <si>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</si>
  <si>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</si>
  <si>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</si>
  <si>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</si>
  <si>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</si>
  <si>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</si>
  <si>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</si>
  <si>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</si>
  <si>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</si>
  <si>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</si>
  <si>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</si>
  <si>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</si>
  <si>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</si>
  <si>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</si>
  <si>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</si>
  <si>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</si>
  <si>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</si>
  <si>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</si>
  <si>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</si>
  <si>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</si>
  <si>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</si>
  <si>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</si>
  <si>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</si>
  <si>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</si>
  <si>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</si>
  <si>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</si>
  <si>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</si>
  <si>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</si>
  <si>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</si>
  <si>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</si>
  <si>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</si>
  <si>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</si>
  <si>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</si>
  <si>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</si>
  <si>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</si>
  <si>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</si>
  <si>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</si>
  <si>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</si>
  <si>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</si>
  <si>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</si>
  <si>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</si>
  <si>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</si>
  <si>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</si>
  <si>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</si>
  <si>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</si>
  <si>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</si>
  <si>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</si>
  <si>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</si>
  <si>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</si>
  <si>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</si>
  <si>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</si>
  <si>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</si>
  <si>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</si>
  <si>
    <t>Flex test 4</t>
  </si>
  <si>
    <t>^Collected by Moe &amp; Ben</t>
  </si>
  <si>
    <t>Flex test 5</t>
  </si>
  <si>
    <t>*4 N pretension</t>
  </si>
  <si>
    <t>*/**</t>
  </si>
  <si>
    <t>**noticed tendon is actually 35 mm. Possible plastic deformation or incorrect initial measurement.</t>
  </si>
  <si>
    <t>tendon 37 mm under load</t>
  </si>
  <si>
    <t>****</t>
  </si>
  <si>
    <t>5 N pretension, Lm = 406</t>
  </si>
  <si>
    <t>11.43N pretension</t>
  </si>
  <si>
    <t>tendon 38mm</t>
  </si>
  <si>
    <t>18.7 N pretension</t>
  </si>
  <si>
    <t>tendon 39mm</t>
  </si>
  <si>
    <t>23.5 N pretension</t>
  </si>
  <si>
    <t>avg pressure</t>
  </si>
  <si>
    <t>Average pressure</t>
  </si>
  <si>
    <t>Noticed that bracket was shifting under higher loads.</t>
  </si>
  <si>
    <t>Bracket failed material pull out.</t>
  </si>
  <si>
    <t>Ext Test 13</t>
  </si>
  <si>
    <t>* Pretensioned to 0.935 N</t>
  </si>
  <si>
    <t>* Pretensioned to 0.975 N</t>
  </si>
  <si>
    <t>Ext Test 12</t>
  </si>
  <si>
    <t>min length test</t>
  </si>
  <si>
    <t>min length (test)</t>
  </si>
  <si>
    <t>max length test</t>
  </si>
  <si>
    <t>max length (test)</t>
  </si>
  <si>
    <t>Flex test 6</t>
  </si>
  <si>
    <t>*pre-inflation length 462</t>
  </si>
  <si>
    <t>*pretension 20.9 N relaxing to 19 N before inflation</t>
  </si>
  <si>
    <t>.</t>
  </si>
  <si>
    <t>*Winch not locked. Pneumatic fitting hitting femur to limit RoM.</t>
  </si>
  <si>
    <t>*self interference again.</t>
  </si>
  <si>
    <t>Deflection in bracket, see picture.</t>
  </si>
  <si>
    <t>high deflection in bracket.</t>
  </si>
  <si>
    <t>I</t>
  </si>
  <si>
    <t>It might be worth redoing this test with a short tendon. Would like to see high force/deflection at -90 knee angle. This test is somewhat limited due to shorter resting length and inability to reach -120 knee angle due to fitting interference.</t>
  </si>
  <si>
    <t>**22 N pretension</t>
  </si>
  <si>
    <t>** 420 mm pre-inflation length</t>
  </si>
  <si>
    <t>413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</si>
</sst>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6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  <xf numFmtId="0" fontId="0" fillId="4" borderId="0" xfId="0" applyFill="1"/>
    <xf numFmtId="0" fontId="0" fillId="4" borderId="8" xfId="0" applyFill="1" applyBorder="1"/>
    <xf numFmtId="0" fontId="0" fillId="4" borderId="10" xfId="0" applyFill="1" applyBorder="1"/>
    <xf numFmtId="0" fontId="3" fillId="4" borderId="0" xfId="1" applyFont="1" applyFill="1"/>
    <xf numFmtId="0" fontId="3" fillId="4" borderId="8" xfId="1" applyFont="1" applyFill="1" applyBorder="1"/>
    <xf numFmtId="0" fontId="2" fillId="4" borderId="10" xfId="1" applyFill="1" applyBorder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4.6268503604248918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ExtTest10mm_12!$C$7:$R$7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ExtTest10mm_12!$C$16:$AA$16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ExtTest10mm_13!$C$7:$R$7</c:f>
              <c:numCache>
                <c:formatCode>General</c:formatCode>
                <c:ptCount val="16"/>
                <c:pt idx="0">
                  <c:v>23.184999999999999</c:v>
                </c:pt>
                <c:pt idx="1">
                  <c:v>17.440999999999999</c:v>
                </c:pt>
                <c:pt idx="2">
                  <c:v>9.1839999999999993</c:v>
                </c:pt>
                <c:pt idx="3">
                  <c:v>2.004</c:v>
                </c:pt>
                <c:pt idx="4">
                  <c:v>-4.8170000000000002</c:v>
                </c:pt>
                <c:pt idx="5">
                  <c:v>-10.561</c:v>
                </c:pt>
                <c:pt idx="6">
                  <c:v>-16.305</c:v>
                </c:pt>
                <c:pt idx="7">
                  <c:v>-21.331</c:v>
                </c:pt>
                <c:pt idx="8">
                  <c:v>-26.356999999999999</c:v>
                </c:pt>
                <c:pt idx="9">
                  <c:v>-32.46</c:v>
                </c:pt>
                <c:pt idx="10">
                  <c:v>-40.716999999999999</c:v>
                </c:pt>
                <c:pt idx="11">
                  <c:v>-50.051000000000002</c:v>
                </c:pt>
                <c:pt idx="12">
                  <c:v>-55.795000000000002</c:v>
                </c:pt>
                <c:pt idx="13">
                  <c:v>-60.820999999999998</c:v>
                </c:pt>
                <c:pt idx="14">
                  <c:v>-67.641999999999996</c:v>
                </c:pt>
                <c:pt idx="15">
                  <c:v>-73.385999999999996</c:v>
                </c:pt>
              </c:numCache>
            </c:numRef>
          </c:xVal>
          <c:yVal>
            <c:numRef>
              <c:f>ExtTest10mm_13!$C$16:$AA$16</c:f>
              <c:numCache>
                <c:formatCode>General</c:formatCode>
                <c:ptCount val="25"/>
                <c:pt idx="0">
                  <c:v>0.17716929126497558</c:v>
                </c:pt>
                <c:pt idx="1">
                  <c:v>0.23580983133155201</c:v>
                </c:pt>
                <c:pt idx="2">
                  <c:v>0.31887857721722329</c:v>
                </c:pt>
                <c:pt idx="3">
                  <c:v>0.72357994775830636</c:v>
                </c:pt>
                <c:pt idx="4">
                  <c:v>0.89299667946631711</c:v>
                </c:pt>
                <c:pt idx="5">
                  <c:v>1.9413384783051184</c:v>
                </c:pt>
                <c:pt idx="6">
                  <c:v>2.4204380693667997</c:v>
                </c:pt>
                <c:pt idx="7">
                  <c:v>2.7329938745931397</c:v>
                </c:pt>
                <c:pt idx="8">
                  <c:v>2.898194169907315</c:v>
                </c:pt>
                <c:pt idx="9">
                  <c:v>2.9622838327028997</c:v>
                </c:pt>
                <c:pt idx="10">
                  <c:v>3.0909599773855079</c:v>
                </c:pt>
                <c:pt idx="11">
                  <c:v>3.5556114225204913</c:v>
                </c:pt>
                <c:pt idx="12">
                  <c:v>3.8508462486362252</c:v>
                </c:pt>
                <c:pt idx="13">
                  <c:v>3.6291506505175044</c:v>
                </c:pt>
                <c:pt idx="14">
                  <c:v>4.1829161707816302</c:v>
                </c:pt>
                <c:pt idx="15">
                  <c:v>4.4642414453654187</c:v>
                </c:pt>
                <c:pt idx="16">
                  <c:v>5.3517587170964296</c:v>
                </c:pt>
                <c:pt idx="17">
                  <c:v>5.5243356546689117</c:v>
                </c:pt>
                <c:pt idx="18">
                  <c:v>4.6434882022501975</c:v>
                </c:pt>
                <c:pt idx="19">
                  <c:v>3.9337462112650874</c:v>
                </c:pt>
                <c:pt idx="20">
                  <c:v>3.2362035092330919</c:v>
                </c:pt>
                <c:pt idx="21">
                  <c:v>2.4284517189520791</c:v>
                </c:pt>
                <c:pt idx="22">
                  <c:v>1.7953494471509861</c:v>
                </c:pt>
                <c:pt idx="23">
                  <c:v>0.66240942939085234</c:v>
                </c:pt>
                <c:pt idx="24">
                  <c:v>0.27714759903786063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81-4BFF-B721-CA615FBF0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ExtTest10mm_13!$C$7:$AE$7</c:f>
              <c:numCache>
                <c:formatCode>General</c:formatCode>
                <c:ptCount val="29"/>
                <c:pt idx="0">
                  <c:v>23.184999999999999</c:v>
                </c:pt>
                <c:pt idx="1">
                  <c:v>17.440999999999999</c:v>
                </c:pt>
                <c:pt idx="2">
                  <c:v>9.1839999999999993</c:v>
                </c:pt>
                <c:pt idx="3">
                  <c:v>2.004</c:v>
                </c:pt>
                <c:pt idx="4">
                  <c:v>-4.8170000000000002</c:v>
                </c:pt>
                <c:pt idx="5">
                  <c:v>-10.561</c:v>
                </c:pt>
                <c:pt idx="6">
                  <c:v>-16.305</c:v>
                </c:pt>
                <c:pt idx="7">
                  <c:v>-21.331</c:v>
                </c:pt>
                <c:pt idx="8">
                  <c:v>-26.356999999999999</c:v>
                </c:pt>
                <c:pt idx="9">
                  <c:v>-32.46</c:v>
                </c:pt>
                <c:pt idx="10">
                  <c:v>-40.716999999999999</c:v>
                </c:pt>
                <c:pt idx="11">
                  <c:v>-50.051000000000002</c:v>
                </c:pt>
                <c:pt idx="12">
                  <c:v>-55.795000000000002</c:v>
                </c:pt>
                <c:pt idx="13">
                  <c:v>-60.820999999999998</c:v>
                </c:pt>
                <c:pt idx="14">
                  <c:v>-67.641999999999996</c:v>
                </c:pt>
                <c:pt idx="15">
                  <c:v>-73.385999999999996</c:v>
                </c:pt>
                <c:pt idx="16">
                  <c:v>-84.156000000000006</c:v>
                </c:pt>
                <c:pt idx="17">
                  <c:v>-90.259</c:v>
                </c:pt>
                <c:pt idx="18">
                  <c:v>-75.180999999999997</c:v>
                </c:pt>
                <c:pt idx="19">
                  <c:v>-65.846999999999994</c:v>
                </c:pt>
                <c:pt idx="20">
                  <c:v>-51.487000000000002</c:v>
                </c:pt>
                <c:pt idx="21">
                  <c:v>-33.896000000000001</c:v>
                </c:pt>
                <c:pt idx="22">
                  <c:v>-17.023</c:v>
                </c:pt>
                <c:pt idx="23">
                  <c:v>-4.0990000000000002</c:v>
                </c:pt>
                <c:pt idx="24">
                  <c:v>6.3120000000000003</c:v>
                </c:pt>
                <c:pt idx="25">
                  <c:v>16.004999999999999</c:v>
                </c:pt>
              </c:numCache>
            </c:numRef>
          </c:xVal>
          <c:yVal>
            <c:numRef>
              <c:f>ExtTest10mm_13!$C$16:$AB$16</c:f>
              <c:numCache>
                <c:formatCode>General</c:formatCode>
                <c:ptCount val="26"/>
                <c:pt idx="0">
                  <c:v>0.17716929126497558</c:v>
                </c:pt>
                <c:pt idx="1">
                  <c:v>0.23580983133155201</c:v>
                </c:pt>
                <c:pt idx="2">
                  <c:v>0.31887857721722329</c:v>
                </c:pt>
                <c:pt idx="3">
                  <c:v>0.72357994775830636</c:v>
                </c:pt>
                <c:pt idx="4">
                  <c:v>0.89299667946631711</c:v>
                </c:pt>
                <c:pt idx="5">
                  <c:v>1.9413384783051184</c:v>
                </c:pt>
                <c:pt idx="6">
                  <c:v>2.4204380693667997</c:v>
                </c:pt>
                <c:pt idx="7">
                  <c:v>2.7329938745931397</c:v>
                </c:pt>
                <c:pt idx="8">
                  <c:v>2.898194169907315</c:v>
                </c:pt>
                <c:pt idx="9">
                  <c:v>2.9622838327028997</c:v>
                </c:pt>
                <c:pt idx="10">
                  <c:v>3.0909599773855079</c:v>
                </c:pt>
                <c:pt idx="11">
                  <c:v>3.5556114225204913</c:v>
                </c:pt>
                <c:pt idx="12">
                  <c:v>3.8508462486362252</c:v>
                </c:pt>
                <c:pt idx="13">
                  <c:v>3.6291506505175044</c:v>
                </c:pt>
                <c:pt idx="14">
                  <c:v>4.1829161707816302</c:v>
                </c:pt>
                <c:pt idx="15">
                  <c:v>4.4642414453654187</c:v>
                </c:pt>
                <c:pt idx="16">
                  <c:v>5.3517587170964296</c:v>
                </c:pt>
                <c:pt idx="17">
                  <c:v>5.5243356546689117</c:v>
                </c:pt>
                <c:pt idx="18">
                  <c:v>4.6434882022501975</c:v>
                </c:pt>
                <c:pt idx="19">
                  <c:v>3.9337462112650874</c:v>
                </c:pt>
                <c:pt idx="20">
                  <c:v>3.2362035092330919</c:v>
                </c:pt>
                <c:pt idx="21">
                  <c:v>2.4284517189520791</c:v>
                </c:pt>
                <c:pt idx="22">
                  <c:v>1.7953494471509861</c:v>
                </c:pt>
                <c:pt idx="23">
                  <c:v>0.66240942939085234</c:v>
                </c:pt>
                <c:pt idx="24">
                  <c:v>0.27714759903786063</c:v>
                </c:pt>
                <c:pt idx="25">
                  <c:v>0.23872194191046633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4-4DF4-A620-B2C7DC507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8.0034120734908135E-2"/>
                  <c:y val="-0.3266434417419499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="1" baseline="0">
                        <a:solidFill>
                          <a:schemeClr val="bg1"/>
                        </a:solidFill>
                      </a:rPr>
                      <a:t>y = 0.0001x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3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+ 0.024x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2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+ 0.9144x - 5.9593</a:t>
                    </a:r>
                    <a:br>
                      <a:rPr lang="en-US" b="1" baseline="0">
                        <a:solidFill>
                          <a:schemeClr val="bg1"/>
                        </a:solidFill>
                      </a:rPr>
                    </a:br>
                    <a:r>
                      <a:rPr lang="en-US" b="1" baseline="0">
                        <a:solidFill>
                          <a:schemeClr val="bg1"/>
                        </a:solidFill>
                      </a:rPr>
                      <a:t>R² = 0.9885</a:t>
                    </a:r>
                    <a:endParaRPr lang="en-US" b="1">
                      <a:solidFill>
                        <a:schemeClr val="bg1"/>
                      </a:solidFill>
                    </a:endParaRPr>
                  </a:p>
                </c:rich>
              </c:tx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FlxTest10mm_4!$C$7:$AE$7</c:f>
              <c:numCache>
                <c:formatCode>General</c:formatCode>
                <c:ptCount val="29"/>
                <c:pt idx="0">
                  <c:v>-68.718999999999994</c:v>
                </c:pt>
                <c:pt idx="1">
                  <c:v>-61.898000000000003</c:v>
                </c:pt>
                <c:pt idx="2">
                  <c:v>-54.359000000000002</c:v>
                </c:pt>
                <c:pt idx="3">
                  <c:v>-46.460999999999999</c:v>
                </c:pt>
                <c:pt idx="4">
                  <c:v>-38.204000000000001</c:v>
                </c:pt>
                <c:pt idx="5">
                  <c:v>-32.100999999999999</c:v>
                </c:pt>
                <c:pt idx="6">
                  <c:v>-27.8</c:v>
                </c:pt>
                <c:pt idx="7">
                  <c:v>-24.202999999999999</c:v>
                </c:pt>
                <c:pt idx="8">
                  <c:v>-25.6</c:v>
                </c:pt>
                <c:pt idx="9">
                  <c:v>-16</c:v>
                </c:pt>
                <c:pt idx="10">
                  <c:v>-20.6</c:v>
                </c:pt>
                <c:pt idx="11">
                  <c:v>-70.81</c:v>
                </c:pt>
                <c:pt idx="12">
                  <c:v>-63</c:v>
                </c:pt>
                <c:pt idx="13">
                  <c:v>-53.6</c:v>
                </c:pt>
                <c:pt idx="14">
                  <c:v>-39.280999999999999</c:v>
                </c:pt>
                <c:pt idx="15">
                  <c:v>-29.6</c:v>
                </c:pt>
                <c:pt idx="16">
                  <c:v>-16.3</c:v>
                </c:pt>
                <c:pt idx="17">
                  <c:v>-10.199999999999999</c:v>
                </c:pt>
              </c:numCache>
            </c:numRef>
          </c:xVal>
          <c:yVal>
            <c:numRef>
              <c:f>FlxTest10mm_4!$C$16:$X$16</c:f>
              <c:numCache>
                <c:formatCode>General</c:formatCode>
                <c:ptCount val="22"/>
                <c:pt idx="0">
                  <c:v>-1.9888446022622024</c:v>
                </c:pt>
                <c:pt idx="1">
                  <c:v>-4.2527956349925518</c:v>
                </c:pt>
                <c:pt idx="2">
                  <c:v>-7.3539886035989408</c:v>
                </c:pt>
                <c:pt idx="3">
                  <c:v>-10.527409285407064</c:v>
                </c:pt>
                <c:pt idx="4">
                  <c:v>-13.966402193997661</c:v>
                </c:pt>
                <c:pt idx="5">
                  <c:v>-15.473036951197667</c:v>
                </c:pt>
                <c:pt idx="6">
                  <c:v>-16.445267992387105</c:v>
                </c:pt>
                <c:pt idx="7">
                  <c:v>-17.07325998043143</c:v>
                </c:pt>
                <c:pt idx="8">
                  <c:v>-14.697192119709124</c:v>
                </c:pt>
                <c:pt idx="9">
                  <c:v>-15.358895091501429</c:v>
                </c:pt>
                <c:pt idx="10">
                  <c:v>-15.042937875530633</c:v>
                </c:pt>
                <c:pt idx="11">
                  <c:v>-0.56433407059449248</c:v>
                </c:pt>
                <c:pt idx="12">
                  <c:v>-2.4445410159422072</c:v>
                </c:pt>
                <c:pt idx="13">
                  <c:v>-5.2402184740344895</c:v>
                </c:pt>
                <c:pt idx="14">
                  <c:v>-10.95843156495609</c:v>
                </c:pt>
                <c:pt idx="15">
                  <c:v>-13.902438921694182</c:v>
                </c:pt>
                <c:pt idx="16">
                  <c:v>-16.846155017276384</c:v>
                </c:pt>
                <c:pt idx="17">
                  <c:v>-9.9320795468220986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28-4152-9B9D-F4BE9A57F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1909860469440826"/>
                  <c:y val="1.901586316257094E-2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FlxTest10mm_5!$C$7:$AE$7</c:f>
              <c:numCache>
                <c:formatCode>General</c:formatCode>
                <c:ptCount val="29"/>
                <c:pt idx="0">
                  <c:v>-113.5</c:v>
                </c:pt>
                <c:pt idx="1">
                  <c:v>-102</c:v>
                </c:pt>
                <c:pt idx="2">
                  <c:v>-94.207999999999998</c:v>
                </c:pt>
                <c:pt idx="3">
                  <c:v>-87.7</c:v>
                </c:pt>
                <c:pt idx="4">
                  <c:v>-80.5</c:v>
                </c:pt>
                <c:pt idx="5">
                  <c:v>-45</c:v>
                </c:pt>
                <c:pt idx="6">
                  <c:v>-112.5</c:v>
                </c:pt>
                <c:pt idx="7">
                  <c:v>-102.4</c:v>
                </c:pt>
                <c:pt idx="8">
                  <c:v>-92</c:v>
                </c:pt>
                <c:pt idx="9">
                  <c:v>-86</c:v>
                </c:pt>
                <c:pt idx="10">
                  <c:v>-77.694000000000003</c:v>
                </c:pt>
                <c:pt idx="11">
                  <c:v>-70.8</c:v>
                </c:pt>
                <c:pt idx="12">
                  <c:v>-65.129000000000005</c:v>
                </c:pt>
                <c:pt idx="13">
                  <c:v>-60.462000000000003</c:v>
                </c:pt>
                <c:pt idx="14">
                  <c:v>-50.768999999999998</c:v>
                </c:pt>
                <c:pt idx="15">
                  <c:v>-45.74</c:v>
                </c:pt>
                <c:pt idx="16">
                  <c:v>-40.716999999999999</c:v>
                </c:pt>
                <c:pt idx="17">
                  <c:v>-34.972999999999999</c:v>
                </c:pt>
                <c:pt idx="18">
                  <c:v>-29.228999999999999</c:v>
                </c:pt>
              </c:numCache>
            </c:numRef>
          </c:xVal>
          <c:yVal>
            <c:numRef>
              <c:f>FlxTest10mm_5!$C$16:$X$16</c:f>
              <c:numCache>
                <c:formatCode>General</c:formatCode>
                <c:ptCount val="22"/>
                <c:pt idx="0">
                  <c:v>-4.9109379769919088E-2</c:v>
                </c:pt>
                <c:pt idx="1">
                  <c:v>-0.83403244093913598</c:v>
                </c:pt>
                <c:pt idx="2">
                  <c:v>-1.7200073984477242</c:v>
                </c:pt>
                <c:pt idx="3">
                  <c:v>-2.900103689581238</c:v>
                </c:pt>
                <c:pt idx="4">
                  <c:v>-4.5474653742290858</c:v>
                </c:pt>
                <c:pt idx="5">
                  <c:v>-18.319240363209158</c:v>
                </c:pt>
                <c:pt idx="6">
                  <c:v>-0.14749659592534689</c:v>
                </c:pt>
                <c:pt idx="7">
                  <c:v>-0.77675624770615737</c:v>
                </c:pt>
                <c:pt idx="8">
                  <c:v>-1.8437074490668364</c:v>
                </c:pt>
                <c:pt idx="9">
                  <c:v>-2.9228908759206247</c:v>
                </c:pt>
                <c:pt idx="10">
                  <c:v>-5.0559532620861303</c:v>
                </c:pt>
                <c:pt idx="11">
                  <c:v>-7.5053908133297975</c:v>
                </c:pt>
                <c:pt idx="12">
                  <c:v>-10.014296277159817</c:v>
                </c:pt>
                <c:pt idx="13">
                  <c:v>-12.137120802638771</c:v>
                </c:pt>
                <c:pt idx="14">
                  <c:v>-16.328074980556799</c:v>
                </c:pt>
                <c:pt idx="15">
                  <c:v>-18.009994411252876</c:v>
                </c:pt>
                <c:pt idx="16">
                  <c:v>-19.562355739823911</c:v>
                </c:pt>
                <c:pt idx="17">
                  <c:v>-20.200690671447745</c:v>
                </c:pt>
                <c:pt idx="18">
                  <c:v>-19.951096115672847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CD-4C0F-A506-F9E8935F6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0.38444521414405664"/>
                  <c:y val="-0.42743820243981429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FlxTest10mm_6!$C$7:$AE$7</c:f>
              <c:numCache>
                <c:formatCode>General</c:formatCode>
                <c:ptCount val="29"/>
                <c:pt idx="0">
                  <c:v>-86.5</c:v>
                </c:pt>
                <c:pt idx="1">
                  <c:v>-78.7</c:v>
                </c:pt>
                <c:pt idx="2">
                  <c:v>-71</c:v>
                </c:pt>
                <c:pt idx="3">
                  <c:v>-66</c:v>
                </c:pt>
                <c:pt idx="4">
                  <c:v>-59.7</c:v>
                </c:pt>
                <c:pt idx="5">
                  <c:v>-53.6</c:v>
                </c:pt>
                <c:pt idx="6">
                  <c:v>-45.743000000000002</c:v>
                </c:pt>
                <c:pt idx="7">
                  <c:v>-40.700000000000003</c:v>
                </c:pt>
                <c:pt idx="8">
                  <c:v>-33.9</c:v>
                </c:pt>
                <c:pt idx="9">
                  <c:v>-25.28</c:v>
                </c:pt>
                <c:pt idx="10">
                  <c:v>-32</c:v>
                </c:pt>
                <c:pt idx="11">
                  <c:v>-40.5</c:v>
                </c:pt>
                <c:pt idx="12">
                  <c:v>-44.3</c:v>
                </c:pt>
                <c:pt idx="13">
                  <c:v>-50.7</c:v>
                </c:pt>
                <c:pt idx="14">
                  <c:v>-56.5</c:v>
                </c:pt>
                <c:pt idx="15">
                  <c:v>-66.5</c:v>
                </c:pt>
                <c:pt idx="16">
                  <c:v>-71.900000000000006</c:v>
                </c:pt>
                <c:pt idx="17">
                  <c:v>-76.257999999999996</c:v>
                </c:pt>
                <c:pt idx="18">
                  <c:v>-80.900000000000006</c:v>
                </c:pt>
                <c:pt idx="19">
                  <c:v>-21.331</c:v>
                </c:pt>
              </c:numCache>
            </c:numRef>
          </c:xVal>
          <c:yVal>
            <c:numRef>
              <c:f>FlxTest10mm_6!$C$16:$X$16</c:f>
              <c:numCache>
                <c:formatCode>General</c:formatCode>
                <c:ptCount val="22"/>
                <c:pt idx="0">
                  <c:v>-0.77403468088936644</c:v>
                </c:pt>
                <c:pt idx="1">
                  <c:v>-2.1699751461256667</c:v>
                </c:pt>
                <c:pt idx="2">
                  <c:v>-4.1634500137164219</c:v>
                </c:pt>
                <c:pt idx="3">
                  <c:v>-6.0859073063754314</c:v>
                </c:pt>
                <c:pt idx="4">
                  <c:v>-8.3053257787199364</c:v>
                </c:pt>
                <c:pt idx="5">
                  <c:v>-11.529780814291216</c:v>
                </c:pt>
                <c:pt idx="6">
                  <c:v>-14.646218214568991</c:v>
                </c:pt>
                <c:pt idx="7">
                  <c:v>-16.11181033876116</c:v>
                </c:pt>
                <c:pt idx="8">
                  <c:v>-17.67596442949068</c:v>
                </c:pt>
                <c:pt idx="9">
                  <c:v>-18.688151379143374</c:v>
                </c:pt>
                <c:pt idx="10">
                  <c:v>-17.008511474983347</c:v>
                </c:pt>
                <c:pt idx="11">
                  <c:v>-14.571619480029591</c:v>
                </c:pt>
                <c:pt idx="12">
                  <c:v>-13.263206031719381</c:v>
                </c:pt>
                <c:pt idx="13">
                  <c:v>-10.450799841685679</c:v>
                </c:pt>
                <c:pt idx="14">
                  <c:v>-7.7085359024047326</c:v>
                </c:pt>
                <c:pt idx="15">
                  <c:v>-4.0341781682833195</c:v>
                </c:pt>
                <c:pt idx="16">
                  <c:v>-2.735286933111357</c:v>
                </c:pt>
                <c:pt idx="17">
                  <c:v>-1.815235873792082</c:v>
                </c:pt>
                <c:pt idx="18">
                  <c:v>-1.1189810180910094</c:v>
                </c:pt>
                <c:pt idx="19">
                  <c:v>-18.534438585205493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87-4579-870C-E12B422BB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0.38444521414405664"/>
                  <c:y val="-0.42743820243981429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FlxTest10mm_7!$C$7:$AE$7</c:f>
              <c:numCache>
                <c:formatCode>General</c:formatCode>
                <c:ptCount val="29"/>
                <c:pt idx="0">
                  <c:v>-109</c:v>
                </c:pt>
                <c:pt idx="1">
                  <c:v>-103.9</c:v>
                </c:pt>
                <c:pt idx="2">
                  <c:v>-94.2</c:v>
                </c:pt>
                <c:pt idx="3">
                  <c:v>-86.3</c:v>
                </c:pt>
                <c:pt idx="4">
                  <c:v>-79.099999999999994</c:v>
                </c:pt>
                <c:pt idx="5">
                  <c:v>-73</c:v>
                </c:pt>
                <c:pt idx="6">
                  <c:v>-68.36</c:v>
                </c:pt>
                <c:pt idx="7">
                  <c:v>-73.7</c:v>
                </c:pt>
                <c:pt idx="8">
                  <c:v>-82.72</c:v>
                </c:pt>
                <c:pt idx="9">
                  <c:v>-96.3</c:v>
                </c:pt>
                <c:pt idx="10">
                  <c:v>-105.3</c:v>
                </c:pt>
                <c:pt idx="11">
                  <c:v>-108.568</c:v>
                </c:pt>
                <c:pt idx="12">
                  <c:v>-104.9</c:v>
                </c:pt>
                <c:pt idx="13">
                  <c:v>-100.6</c:v>
                </c:pt>
                <c:pt idx="14">
                  <c:v>-97</c:v>
                </c:pt>
                <c:pt idx="15">
                  <c:v>-92.8</c:v>
                </c:pt>
                <c:pt idx="16">
                  <c:v>-88.1</c:v>
                </c:pt>
                <c:pt idx="17">
                  <c:v>-83.4</c:v>
                </c:pt>
                <c:pt idx="18">
                  <c:v>-78.400000000000006</c:v>
                </c:pt>
                <c:pt idx="19">
                  <c:v>-74.8</c:v>
                </c:pt>
                <c:pt idx="20">
                  <c:v>-70.5</c:v>
                </c:pt>
                <c:pt idx="21">
                  <c:v>-62.256999999999998</c:v>
                </c:pt>
                <c:pt idx="22">
                  <c:v>-56</c:v>
                </c:pt>
                <c:pt idx="23">
                  <c:v>-63</c:v>
                </c:pt>
              </c:numCache>
            </c:numRef>
          </c:xVal>
          <c:yVal>
            <c:numRef>
              <c:f>FlxTest10mm_7!$C$16:$AE$16</c:f>
              <c:numCache>
                <c:formatCode>General</c:formatCode>
                <c:ptCount val="29"/>
                <c:pt idx="0">
                  <c:v>-0.64909149703352276</c:v>
                </c:pt>
                <c:pt idx="1">
                  <c:v>-2.4970762294077464</c:v>
                </c:pt>
                <c:pt idx="2">
                  <c:v>-4.8905426597375499</c:v>
                </c:pt>
                <c:pt idx="3">
                  <c:v>-7.9869930549707391</c:v>
                </c:pt>
                <c:pt idx="4">
                  <c:v>-11.452852453160894</c:v>
                </c:pt>
                <c:pt idx="5">
                  <c:v>-14.69098116170135</c:v>
                </c:pt>
                <c:pt idx="6">
                  <c:v>-17.317686944672865</c:v>
                </c:pt>
                <c:pt idx="7">
                  <c:v>-14.194330592107978</c:v>
                </c:pt>
                <c:pt idx="8">
                  <c:v>-9.0748251795974699</c:v>
                </c:pt>
                <c:pt idx="9">
                  <c:v>-3.8144182760395964</c:v>
                </c:pt>
                <c:pt idx="10">
                  <c:v>-1.9223094335223556</c:v>
                </c:pt>
                <c:pt idx="11">
                  <c:v>-0.19944670724390048</c:v>
                </c:pt>
                <c:pt idx="12">
                  <c:v>-2.0973842966034444</c:v>
                </c:pt>
                <c:pt idx="13">
                  <c:v>-2.9964914752892953</c:v>
                </c:pt>
                <c:pt idx="14">
                  <c:v>-3.8704681555820066</c:v>
                </c:pt>
                <c:pt idx="15">
                  <c:v>-5.1939185571681117</c:v>
                </c:pt>
                <c:pt idx="16">
                  <c:v>-6.6906354309609268</c:v>
                </c:pt>
                <c:pt idx="17">
                  <c:v>-9.0373508433128933</c:v>
                </c:pt>
                <c:pt idx="18">
                  <c:v>-11.8172174042011</c:v>
                </c:pt>
                <c:pt idx="19">
                  <c:v>-13.955467186220737</c:v>
                </c:pt>
                <c:pt idx="20">
                  <c:v>-16.579007539649229</c:v>
                </c:pt>
                <c:pt idx="21">
                  <c:v>-20.930729544640581</c:v>
                </c:pt>
                <c:pt idx="22">
                  <c:v>-23.408194309792101</c:v>
                </c:pt>
                <c:pt idx="23">
                  <c:v>-19.274406804020305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4B6-4F0F-83B8-51F9FD99C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363643</xdr:colOff>
      <xdr:row>17</xdr:row>
      <xdr:rowOff>86042</xdr:rowOff>
    </xdr:from>
    <xdr:to>
      <xdr:col>8</xdr:col>
      <xdr:colOff>868468</xdr:colOff>
      <xdr:row>32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83820</xdr:colOff>
      <xdr:row>16</xdr:row>
      <xdr:rowOff>9525</xdr:rowOff>
    </xdr:from>
    <xdr:to>
      <xdr:col>9</xdr:col>
      <xdr:colOff>643890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517207</xdr:colOff>
      <xdr:row>18</xdr:row>
      <xdr:rowOff>15240</xdr:rowOff>
    </xdr:from>
    <xdr:to>
      <xdr:col>10</xdr:col>
      <xdr:colOff>111442</xdr:colOff>
      <xdr:row>32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677694</xdr:colOff>
      <xdr:row>17</xdr:row>
      <xdr:rowOff>60169</xdr:rowOff>
    </xdr:from>
    <xdr:to>
      <xdr:col>7</xdr:col>
      <xdr:colOff>702891</xdr:colOff>
      <xdr:row>31</xdr:row>
      <xdr:rowOff>136369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85E2B1-AD7C-4F3D-8ACA-E05BF9DD0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34F374-DD15-4C88-9542-E5D6B2DBF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672253</xdr:colOff>
      <xdr:row>19</xdr:row>
      <xdr:rowOff>68897</xdr:rowOff>
    </xdr:from>
    <xdr:to>
      <xdr:col>10</xdr:col>
      <xdr:colOff>496993</xdr:colOff>
      <xdr:row>34</xdr:row>
      <xdr:rowOff>97472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390525</xdr:colOff>
      <xdr:row>16</xdr:row>
      <xdr:rowOff>112712</xdr:rowOff>
    </xdr:from>
    <xdr:to>
      <xdr:col>11</xdr:col>
      <xdr:colOff>277918</xdr:colOff>
      <xdr:row>34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18</xdr:row>
      <xdr:rowOff>55562</xdr:rowOff>
    </xdr:from>
    <xdr:to>
      <xdr:col>9</xdr:col>
      <xdr:colOff>600075</xdr:colOff>
      <xdr:row>33</xdr:row>
      <xdr:rowOff>96837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83CC11-D790-13A2-4619-F46E06DD1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49770</xdr:colOff>
      <xdr:row>21</xdr:row>
      <xdr:rowOff>8515</xdr:rowOff>
    </xdr:from>
    <xdr:to>
      <xdr:col>9</xdr:col>
      <xdr:colOff>329917</xdr:colOff>
      <xdr:row>36</xdr:row>
      <xdr:rowOff>40264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E722E8-FDD3-4A7B-AD3B-C615A565B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49770</xdr:colOff>
      <xdr:row>21</xdr:row>
      <xdr:rowOff>8515</xdr:rowOff>
    </xdr:from>
    <xdr:to>
      <xdr:col>9</xdr:col>
      <xdr:colOff>329917</xdr:colOff>
      <xdr:row>36</xdr:row>
      <xdr:rowOff>40264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B8A4D0-7025-4D69-80BF-1D6FF57C0C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49770</xdr:colOff>
      <xdr:row>21</xdr:row>
      <xdr:rowOff>8515</xdr:rowOff>
    </xdr:from>
    <xdr:to>
      <xdr:col>9</xdr:col>
      <xdr:colOff>329917</xdr:colOff>
      <xdr:row>36</xdr:row>
      <xdr:rowOff>40264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0B8133-CBE0-4468-8E05-E2BE925B2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EDD4A2EB-AC41-41F5-AEBA-BA83D6D066BB}">
    <text>Recheck after test</text>
  </threadedComment>
  <threadedComment ref="C2" dT="2026-08-15T11:49:42.01" personId="{10A700E7-E0AC-4B04-B751-E14560120F23}" id="{9CFDF14D-575A-454E-B7D7-DA4387652C71}" parentId="{EDD4A2EB-AC41-41F5-AEBA-BA83D6D066BB}">
    <text xml:space="preserve">Moe had it originally at 465
</text>
  </threadedComment>
  <threadedComment ref="C3" dT="2026-07-18T06:57:43.54" personId="{10A700E7-E0AC-4B04-B751-E14560120F23}" id="{E30E01B8-EB61-46FD-9E73-DB8665781EAE}">
    <text>Recheck after test</text>
  </threadedComment>
  <threadedComment ref="C3" dT="2026-08-15T11:49:54.82" personId="{10A700E7-E0AC-4B04-B751-E14560120F23}" id="{5A4E2F9F-8889-44AD-82E8-09E38A749055}" parentId="{E30E01B8-EB61-46FD-9E73-DB8665781EAE}">
    <text>Moe had it originally at 401</text>
  </threadedComment>
  <threadedComment ref="D3" dT="2026-07-17T08:55:32.82" personId="{10A700E7-E0AC-4B04-B751-E14560120F23}" id="{FBA43358-59F0-4FFB-BDC7-3AEDE0ADFC53}">
    <text>Max contracted length normalized by resting length</text>
  </threadedComment>
  <threadedComment ref="E3" dT="2026-07-17T08:54:37.64" personId="{10A700E7-E0AC-4B04-B751-E14560120F23}" id="{29559212-EFFD-4F4F-810E-B5C644E22194}">
    <text>Kmax</text>
  </threadedComment>
  <threadedComment ref="C4" dT="2026-07-18T06:57:17.11" personId="{10A700E7-E0AC-4B04-B751-E14560120F23}" id="{09557C74-D39F-48D9-9B0F-33C529B18E89}">
    <text>So it can reach -114 degrees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B3DD3E36-DE23-4526-822F-7544076C12AF}">
    <text>Recheck after test</text>
  </threadedComment>
  <threadedComment ref="C3" dT="2026-07-18T06:57:43.54" personId="{10A700E7-E0AC-4B04-B751-E14560120F23}" id="{44F69930-AA26-4737-9556-6F232E8AC193}">
    <text>Recheck after test</text>
  </threadedComment>
  <threadedComment ref="D3" dT="2026-07-17T08:55:32.82" personId="{10A700E7-E0AC-4B04-B751-E14560120F23}" id="{6E9C7D1B-6D13-4A15-A63C-B49E3DDDDD72}">
    <text>Max contracted length normalized by resting length</text>
  </threadedComment>
  <threadedComment ref="E3" dT="2026-07-17T08:54:37.64" personId="{10A700E7-E0AC-4B04-B751-E14560120F23}" id="{A117DFD4-25AF-41A6-9D26-99F7C9197E59}">
    <text>Kmax</text>
  </threadedComment>
  <threadedComment ref="C4" dT="2026-07-18T06:57:17.11" personId="{10A700E7-E0AC-4B04-B751-E14560120F23}" id="{70F2E1CB-BEA3-46AD-8012-48E9D04ADA3E}">
    <text>So it can reach -114 degrees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1412A674-61A3-4D66-9D3E-5374366576D7}">
    <text>Recheck after test</text>
  </threadedComment>
  <threadedComment ref="C3" dT="2026-07-18T06:57:43.54" personId="{10A700E7-E0AC-4B04-B751-E14560120F23}" id="{7BAEFA08-D790-466D-A190-320CBA26570E}">
    <text>Recheck after test</text>
  </threadedComment>
  <threadedComment ref="D3" dT="2026-07-17T08:55:32.82" personId="{10A700E7-E0AC-4B04-B751-E14560120F23}" id="{E1852E19-B84C-463E-A0CB-BF0ADA1DC1BE}">
    <text>Max contracted length normalized by resting length</text>
  </threadedComment>
  <threadedComment ref="E3" dT="2026-07-17T08:54:37.64" personId="{10A700E7-E0AC-4B04-B751-E14560120F23}" id="{13B25287-2F50-4E04-AC48-02AB262B1DE9}">
    <text>Kmax</text>
  </threadedComment>
  <threadedComment ref="C4" dT="2026-07-18T06:57:17.11" personId="{10A700E7-E0AC-4B04-B751-E14560120F23}" id="{50243B4E-1A69-4602-BC70-D861CF3BE17E}">
    <text>Initially measured 30 mm but noticed it was actually 35 mm around data reading 6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2916077-4F60-4815-AACB-36F540965802}">
    <text>Recheck after test</text>
  </threadedComment>
  <threadedComment ref="C3" dT="2026-07-18T06:57:43.54" personId="{10A700E7-E0AC-4B04-B751-E14560120F23}" id="{D38AB9F1-0008-44E2-9AA2-442694BB58A1}">
    <text>Recheck after test</text>
  </threadedComment>
  <threadedComment ref="D3" dT="2026-07-17T08:55:32.82" personId="{10A700E7-E0AC-4B04-B751-E14560120F23}" id="{8BAEE42B-9536-417D-B6B2-DB5320F80125}">
    <text>Max contracted length normalized by resting length</text>
  </threadedComment>
  <threadedComment ref="E3" dT="2026-07-17T08:54:37.64" personId="{10A700E7-E0AC-4B04-B751-E14560120F23}" id="{D29CCFA0-C50E-48A0-9F07-9CBB4F001241}">
    <text>Kmax</text>
  </threadedComment>
  <threadedComment ref="C4" dT="2026-07-18T06:57:17.11" personId="{10A700E7-E0AC-4B04-B751-E14560120F23}" id="{E616D17E-2271-4A96-95EA-0FDB020E98C3}">
    <text>Initially measured 30 mm but noticed it was actually 35 mm around data reading 6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9AA8AD60-DE11-48B5-880C-2CCB45861899}">
    <text>Recheck after test</text>
  </threadedComment>
  <threadedComment ref="C3" dT="2026-07-18T06:57:43.54" personId="{10A700E7-E0AC-4B04-B751-E14560120F23}" id="{E755D6F7-2EEF-478D-A020-90D4294A3ECE}">
    <text>Recheck after test</text>
  </threadedComment>
  <threadedComment ref="D3" dT="2026-07-17T08:55:32.82" personId="{10A700E7-E0AC-4B04-B751-E14560120F23}" id="{1C40D3B8-BABA-47B6-BDD9-D22111829239}">
    <text>Max contracted length normalized by resting length</text>
  </threadedComment>
  <threadedComment ref="E3" dT="2026-07-17T08:54:37.64" personId="{10A700E7-E0AC-4B04-B751-E14560120F23}" id="{9EA52FCB-FEBF-4E8B-B6D0-56B012E0978E}">
    <text>Kmax</text>
  </threadedComment>
  <threadedComment ref="C4" dT="2026-07-18T06:57:17.11" personId="{10A700E7-E0AC-4B04-B751-E14560120F23}" id="{E990C728-1545-4F94-A65C-CF60D8224868}">
    <text>Initially measured 30 mm but noticed it was actually 35 mm around data reading 6</text>
  </threadedComment>
  <threadedComment ref="C7" dT="2026-08-15T15:17:40.28" personId="{10A700E7-E0AC-4B04-B751-E14560120F23}" id="{D96C6B4A-6774-4EBB-B219-C5959025303E}">
    <text>Originally read -106 but corrected by 3 degrees.</text>
  </threadedComment>
  <threadedComment ref="X18" dT="2026-08-15T17:06:13.47" personId="{10A700E7-E0AC-4B04-B751-E14560120F23}" id="{701EEFB9-267B-45F6-8252-91563326FAC1}">
    <text>Actually 410?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8.xml"/><Relationship Id="rId4" Type="http://schemas.microsoft.com/office/2017/10/relationships/threadedComment" Target="../threadedComments/threadedComment7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9.xml"/><Relationship Id="rId4" Type="http://schemas.microsoft.com/office/2017/10/relationships/threadedComment" Target="../threadedComments/threadedComment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20.xml"/><Relationship Id="rId4" Type="http://schemas.microsoft.com/office/2017/10/relationships/threadedComment" Target="../threadedComments/threadedComment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C1" workbookViewId="0">
      <selection activeCell="AB22" sqref="AB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18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17.55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4.6268503604248918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8" x14ac:dyDescent="0.3">
      <c r="C17" t="s">
        <v>20</v>
      </c>
    </row>
    <row r="18" spans="3:28" x14ac:dyDescent="0.3">
      <c r="C18">
        <f>C6+4.6262</f>
        <v>22.176200000000001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8" x14ac:dyDescent="0.3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8" x14ac:dyDescent="0.3">
      <c r="C20" t="s">
        <v>45</v>
      </c>
    </row>
    <row r="21" spans="3:28" x14ac:dyDescent="0.3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  <c r="Z21" t="s">
        <v>101</v>
      </c>
      <c r="AB21" t="s">
        <v>103</v>
      </c>
    </row>
    <row r="22" spans="3:28" x14ac:dyDescent="0.3">
      <c r="T22">
        <v>480</v>
      </c>
      <c r="U22">
        <v>470</v>
      </c>
      <c r="V22">
        <v>450</v>
      </c>
      <c r="W22">
        <v>420</v>
      </c>
      <c r="X22">
        <v>405</v>
      </c>
      <c r="Z22">
        <f>MIN(C10:AN10)</f>
        <v>409.5</v>
      </c>
      <c r="AB22">
        <f>MAX(C10:AP10)</f>
        <v>463</v>
      </c>
    </row>
    <row r="23" spans="3:28" x14ac:dyDescent="0.3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8" x14ac:dyDescent="0.3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8" x14ac:dyDescent="0.3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22"/>
  <sheetViews>
    <sheetView topLeftCell="B1" workbookViewId="0">
      <selection activeCell="S22" sqref="S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457</v>
      </c>
      <c r="F2" t="s">
        <v>22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381.5</v>
      </c>
      <c r="D4">
        <f>1-C4/C2</f>
        <v>0.16520787746170673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21" spans="17:19" x14ac:dyDescent="0.3">
      <c r="Q21" t="s">
        <v>101</v>
      </c>
      <c r="S21" t="s">
        <v>103</v>
      </c>
    </row>
    <row r="22" spans="17:19" x14ac:dyDescent="0.3">
      <c r="Q22">
        <f>MIN(C10:AE10)</f>
        <v>381</v>
      </c>
      <c r="S22">
        <f>MAX(C10:AG10)</f>
        <v>456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22"/>
  <sheetViews>
    <sheetView workbookViewId="0">
      <selection activeCell="M22" sqref="M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21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  <c r="D4">
        <f>1-398/486</f>
        <v>0.18106995884773658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21" spans="11:13" x14ac:dyDescent="0.3">
      <c r="K21" t="s">
        <v>101</v>
      </c>
      <c r="M21" t="s">
        <v>103</v>
      </c>
    </row>
    <row r="22" spans="11:13" x14ac:dyDescent="0.3">
      <c r="K22">
        <f>MIN(C10:F10)</f>
        <v>438</v>
      </c>
      <c r="M22">
        <f>MAX(C10:H10)</f>
        <v>459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topLeftCell="B1" workbookViewId="0">
      <selection activeCell="O22" sqref="O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415</v>
      </c>
      <c r="F2" t="s">
        <v>18</v>
      </c>
    </row>
    <row r="3" spans="1:36" x14ac:dyDescent="0.3">
      <c r="B3" s="3" t="s">
        <v>14</v>
      </c>
      <c r="C3">
        <f>C2-C2*0.17</f>
        <v>344.45</v>
      </c>
      <c r="F3" t="s">
        <v>28</v>
      </c>
    </row>
    <row r="4" spans="1:36" x14ac:dyDescent="0.3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U16" t="s">
        <v>23</v>
      </c>
      <c r="AB16" t="s">
        <v>25</v>
      </c>
    </row>
    <row r="17" spans="14:29" x14ac:dyDescent="0.3">
      <c r="AB17">
        <v>2.2241</v>
      </c>
    </row>
    <row r="18" spans="14:29" x14ac:dyDescent="0.3">
      <c r="AC18" t="s">
        <v>27</v>
      </c>
    </row>
    <row r="21" spans="14:29" x14ac:dyDescent="0.3">
      <c r="N21" t="s">
        <v>102</v>
      </c>
      <c r="O21" t="s">
        <v>104</v>
      </c>
    </row>
    <row r="22" spans="14:29" x14ac:dyDescent="0.3">
      <c r="N22">
        <f>MIN(C10:AN10)</f>
        <v>346</v>
      </c>
      <c r="O22">
        <f>MAX(C10:AO10)</f>
        <v>413.5</v>
      </c>
    </row>
    <row r="24" spans="14:29" x14ac:dyDescent="0.3">
      <c r="Q24" t="s">
        <v>44</v>
      </c>
    </row>
    <row r="25" spans="14:29" x14ac:dyDescent="0.3">
      <c r="Q25" t="s">
        <v>42</v>
      </c>
      <c r="R25">
        <v>630</v>
      </c>
      <c r="S25">
        <v>-1.4999999999999999E-2</v>
      </c>
    </row>
    <row r="26" spans="14:29" x14ac:dyDescent="0.3">
      <c r="Q26" t="s">
        <v>43</v>
      </c>
      <c r="R26">
        <v>-1.4999999999999999E-2</v>
      </c>
      <c r="S26">
        <v>0</v>
      </c>
    </row>
    <row r="27" spans="14:29" x14ac:dyDescent="0.3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22"/>
  <sheetViews>
    <sheetView workbookViewId="0">
      <selection activeCell="M22" sqref="M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38</v>
      </c>
    </row>
    <row r="2" spans="1:17" x14ac:dyDescent="0.3">
      <c r="A2" s="3" t="s">
        <v>5</v>
      </c>
      <c r="C2">
        <v>415</v>
      </c>
      <c r="E2" t="s">
        <v>37</v>
      </c>
    </row>
    <row r="3" spans="1:17" x14ac:dyDescent="0.3">
      <c r="A3" s="3" t="s">
        <v>36</v>
      </c>
      <c r="C3">
        <v>350</v>
      </c>
    </row>
    <row r="4" spans="1:17" x14ac:dyDescent="0.3">
      <c r="A4" s="3" t="s">
        <v>35</v>
      </c>
      <c r="C4" t="s">
        <v>40</v>
      </c>
      <c r="L4" t="s">
        <v>16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">
      <c r="A10" s="11" t="s">
        <v>8</v>
      </c>
      <c r="B10" s="7" t="s">
        <v>9</v>
      </c>
    </row>
    <row r="11" spans="1:17" x14ac:dyDescent="0.3">
      <c r="A11" s="12"/>
      <c r="B11" s="8" t="s">
        <v>33</v>
      </c>
    </row>
    <row r="12" spans="1:17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">
      <c r="L16" t="s">
        <v>39</v>
      </c>
    </row>
    <row r="21" spans="12:13" x14ac:dyDescent="0.3">
      <c r="L21" t="s">
        <v>101</v>
      </c>
      <c r="M21" t="s">
        <v>103</v>
      </c>
    </row>
    <row r="22" spans="12:13" x14ac:dyDescent="0.3">
      <c r="L22">
        <f>MIN(C9:AL9)</f>
        <v>340</v>
      </c>
      <c r="M22">
        <f>MAX(C9:AM9)</f>
        <v>408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22"/>
  <sheetViews>
    <sheetView workbookViewId="0">
      <selection activeCell="N23" sqref="N23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66</v>
      </c>
    </row>
    <row r="2" spans="1:31" x14ac:dyDescent="0.3">
      <c r="A2" s="3" t="s">
        <v>5</v>
      </c>
      <c r="C2">
        <v>415</v>
      </c>
      <c r="E2" t="s">
        <v>37</v>
      </c>
    </row>
    <row r="3" spans="1:31" x14ac:dyDescent="0.3">
      <c r="A3" s="3" t="s">
        <v>36</v>
      </c>
      <c r="C3">
        <v>350</v>
      </c>
    </row>
    <row r="4" spans="1:31" x14ac:dyDescent="0.3">
      <c r="A4" s="3" t="s">
        <v>35</v>
      </c>
      <c r="C4" t="s">
        <v>40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">
      <c r="A9" s="12"/>
      <c r="B9" s="8" t="s">
        <v>3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  <row r="21" spans="13:14" x14ac:dyDescent="0.3">
      <c r="M21" t="s">
        <v>101</v>
      </c>
      <c r="N21" t="s">
        <v>103</v>
      </c>
    </row>
    <row r="22" spans="13:14" x14ac:dyDescent="0.3">
      <c r="M22">
        <f>MIN(D9:AM9)</f>
        <v>340</v>
      </c>
      <c r="N22">
        <f>MAX(D9:AN9)</f>
        <v>395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22"/>
  <sheetViews>
    <sheetView zoomScale="106" workbookViewId="0">
      <selection activeCell="N23" sqref="N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</cols>
  <sheetData>
    <row r="1" spans="1:31" x14ac:dyDescent="0.3">
      <c r="A1" s="3" t="s">
        <v>65</v>
      </c>
    </row>
    <row r="2" spans="1:31" x14ac:dyDescent="0.3">
      <c r="A2" s="3" t="s">
        <v>5</v>
      </c>
      <c r="C2">
        <v>403</v>
      </c>
      <c r="E2" t="s">
        <v>46</v>
      </c>
    </row>
    <row r="3" spans="1:31" x14ac:dyDescent="0.3">
      <c r="A3" s="3" t="s">
        <v>36</v>
      </c>
      <c r="C3">
        <v>345</v>
      </c>
    </row>
    <row r="4" spans="1:31" x14ac:dyDescent="0.3">
      <c r="A4" s="3" t="s">
        <v>35</v>
      </c>
      <c r="C4">
        <v>0</v>
      </c>
      <c r="H4" t="s">
        <v>49</v>
      </c>
    </row>
    <row r="5" spans="1:31" s="10" customFormat="1" x14ac:dyDescent="0.3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">
      <c r="A11" s="11" t="s">
        <v>8</v>
      </c>
      <c r="B11" s="7" t="s">
        <v>9</v>
      </c>
      <c r="C11" s="24"/>
    </row>
    <row r="12" spans="1:31" x14ac:dyDescent="0.3">
      <c r="A12" s="12"/>
      <c r="B12" s="8" t="s">
        <v>33</v>
      </c>
      <c r="C12" s="23"/>
    </row>
    <row r="13" spans="1:31" x14ac:dyDescent="0.3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">
      <c r="A15" s="13"/>
      <c r="B15" s="9" t="s">
        <v>4</v>
      </c>
      <c r="C15" s="25"/>
    </row>
    <row r="16" spans="1:31" s="28" customFormat="1" x14ac:dyDescent="0.3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  <row r="18" spans="8:14" x14ac:dyDescent="0.3">
      <c r="H18" t="s">
        <v>96</v>
      </c>
    </row>
    <row r="21" spans="8:14" x14ac:dyDescent="0.3">
      <c r="L21" t="s">
        <v>93</v>
      </c>
      <c r="M21" t="s">
        <v>101</v>
      </c>
      <c r="N21" t="s">
        <v>103</v>
      </c>
    </row>
    <row r="22" spans="8:14" x14ac:dyDescent="0.3">
      <c r="L22">
        <f>AVERAGE(C8:AK8)</f>
        <v>626.94000000000005</v>
      </c>
      <c r="M22">
        <f>MIN(C10:AM10)</f>
        <v>334</v>
      </c>
      <c r="N22">
        <f>MAX(C10:AN10)</f>
        <v>380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22"/>
  <sheetViews>
    <sheetView zoomScale="78" workbookViewId="0">
      <selection activeCell="P23" sqref="P23"/>
    </sheetView>
  </sheetViews>
  <sheetFormatPr defaultRowHeight="14.4" x14ac:dyDescent="0.3"/>
  <cols>
    <col min="1" max="1" width="8.77734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  <col min="14" max="14" width="14.88671875" bestFit="1" customWidth="1"/>
  </cols>
  <sheetData>
    <row r="1" spans="1:31" x14ac:dyDescent="0.3">
      <c r="A1" s="3" t="s">
        <v>64</v>
      </c>
    </row>
    <row r="2" spans="1:31" x14ac:dyDescent="0.3">
      <c r="A2" s="3" t="s">
        <v>5</v>
      </c>
      <c r="C2">
        <v>408</v>
      </c>
      <c r="E2" t="s">
        <v>46</v>
      </c>
    </row>
    <row r="3" spans="1:31" x14ac:dyDescent="0.3">
      <c r="A3" s="3" t="s">
        <v>36</v>
      </c>
      <c r="C3">
        <v>342</v>
      </c>
    </row>
    <row r="4" spans="1:31" x14ac:dyDescent="0.3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6" x14ac:dyDescent="0.3">
      <c r="N17" s="3" t="s">
        <v>50</v>
      </c>
      <c r="O17" s="3" t="s">
        <v>51</v>
      </c>
    </row>
    <row r="19" spans="14:16" x14ac:dyDescent="0.3">
      <c r="O19" t="s">
        <v>95</v>
      </c>
    </row>
    <row r="21" spans="14:16" x14ac:dyDescent="0.3">
      <c r="N21" t="s">
        <v>93</v>
      </c>
      <c r="O21" t="s">
        <v>101</v>
      </c>
      <c r="P21" t="s">
        <v>103</v>
      </c>
    </row>
    <row r="22" spans="14:16" x14ac:dyDescent="0.3">
      <c r="N22">
        <f>AVERAGE(C8:AM8)</f>
        <v>627.65099999999995</v>
      </c>
      <c r="O22">
        <f>MIN(A10:AM10)</f>
        <v>334</v>
      </c>
      <c r="P22">
        <f>MAX(B10:AN10)</f>
        <v>397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2"/>
  <sheetViews>
    <sheetView zoomScale="78" workbookViewId="0">
      <selection activeCell="P23" sqref="P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63</v>
      </c>
    </row>
    <row r="2" spans="1:31" x14ac:dyDescent="0.3">
      <c r="A2" s="3" t="s">
        <v>5</v>
      </c>
      <c r="C2">
        <v>400</v>
      </c>
      <c r="E2" t="s">
        <v>46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6" x14ac:dyDescent="0.3">
      <c r="N17" s="3"/>
      <c r="O17" s="3"/>
    </row>
    <row r="21" spans="2:16" x14ac:dyDescent="0.3">
      <c r="B21" s="21" t="s">
        <v>52</v>
      </c>
      <c r="N21" t="s">
        <v>93</v>
      </c>
      <c r="O21" t="s">
        <v>101</v>
      </c>
      <c r="P21" t="s">
        <v>103</v>
      </c>
    </row>
    <row r="22" spans="2:16" x14ac:dyDescent="0.3">
      <c r="N22">
        <f>AVERAGE(C8:M8)</f>
        <v>624.85518181818179</v>
      </c>
      <c r="O22">
        <f>MIN(A10:Z10)</f>
        <v>337</v>
      </c>
      <c r="P22">
        <f>MAX(B10:AA10)</f>
        <v>397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2"/>
  <sheetViews>
    <sheetView zoomScale="78" workbookViewId="0">
      <selection activeCell="F3" sqref="F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62</v>
      </c>
    </row>
    <row r="2" spans="1:31" x14ac:dyDescent="0.3">
      <c r="A2" s="3" t="s">
        <v>5</v>
      </c>
      <c r="C2">
        <v>400</v>
      </c>
      <c r="E2" t="s">
        <v>58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7" x14ac:dyDescent="0.3">
      <c r="L17" t="s">
        <v>55</v>
      </c>
      <c r="N17" s="3" t="s">
        <v>56</v>
      </c>
      <c r="O17" s="3" t="s">
        <v>57</v>
      </c>
    </row>
    <row r="21" spans="2:17" x14ac:dyDescent="0.3">
      <c r="B21" s="21" t="s">
        <v>52</v>
      </c>
      <c r="N21" t="s">
        <v>93</v>
      </c>
      <c r="P21" t="s">
        <v>101</v>
      </c>
      <c r="Q21" t="s">
        <v>103</v>
      </c>
    </row>
    <row r="22" spans="2:17" x14ac:dyDescent="0.3">
      <c r="N22">
        <f>AVERAGE(C8:O8)</f>
        <v>618.36923076923074</v>
      </c>
      <c r="P22">
        <f>MIN(B10:AA10)</f>
        <v>337</v>
      </c>
      <c r="Q22">
        <f>MAX(C10:AB10)</f>
        <v>382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R23" sqref="R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61</v>
      </c>
    </row>
    <row r="2" spans="1:31" x14ac:dyDescent="0.3">
      <c r="A2" s="3" t="s">
        <v>5</v>
      </c>
      <c r="C2">
        <v>432</v>
      </c>
      <c r="E2" t="s">
        <v>58</v>
      </c>
    </row>
    <row r="3" spans="1:31" x14ac:dyDescent="0.3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">
      <c r="A4" s="3" t="s">
        <v>35</v>
      </c>
      <c r="C4">
        <v>22</v>
      </c>
      <c r="E4" t="s">
        <v>59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8" x14ac:dyDescent="0.3">
      <c r="N17" s="3"/>
      <c r="O17" s="3"/>
    </row>
    <row r="21" spans="2:18" x14ac:dyDescent="0.3">
      <c r="B21" s="21" t="s">
        <v>52</v>
      </c>
      <c r="O21" t="s">
        <v>93</v>
      </c>
      <c r="Q21" t="s">
        <v>101</v>
      </c>
      <c r="R21" t="s">
        <v>103</v>
      </c>
    </row>
    <row r="22" spans="2:18" x14ac:dyDescent="0.3">
      <c r="O22">
        <f>AVERAGE(C8:P8)</f>
        <v>622.92857142857144</v>
      </c>
      <c r="Q22">
        <f>MIN(C10:AB10)</f>
        <v>356</v>
      </c>
      <c r="R22">
        <f>MAX(C10:AC10)</f>
        <v>405</v>
      </c>
    </row>
    <row r="27" spans="2:18" x14ac:dyDescent="0.3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zoomScale="76" workbookViewId="0">
      <selection activeCell="R25" sqref="R25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100</v>
      </c>
      <c r="B1" s="3"/>
    </row>
    <row r="2" spans="1:37" x14ac:dyDescent="0.3">
      <c r="A2" s="3" t="s">
        <v>71</v>
      </c>
      <c r="B2" s="3"/>
      <c r="C2">
        <v>436</v>
      </c>
      <c r="E2" t="s">
        <v>68</v>
      </c>
    </row>
    <row r="3" spans="1:37" x14ac:dyDescent="0.3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>
        <v>1.56</v>
      </c>
      <c r="D6">
        <v>7.27</v>
      </c>
      <c r="E6">
        <v>18.05</v>
      </c>
      <c r="F6">
        <v>22.13</v>
      </c>
      <c r="G6">
        <v>24.334</v>
      </c>
      <c r="H6">
        <v>23.155999999999999</v>
      </c>
      <c r="I6">
        <v>25.13</v>
      </c>
      <c r="J6">
        <v>25.15</v>
      </c>
      <c r="K6">
        <v>26.1</v>
      </c>
      <c r="L6">
        <v>29.18</v>
      </c>
      <c r="M6">
        <v>31.68</v>
      </c>
      <c r="N6">
        <v>32.74</v>
      </c>
      <c r="O6">
        <v>34.68</v>
      </c>
      <c r="P6">
        <v>38.82</v>
      </c>
      <c r="Q6">
        <v>29.24</v>
      </c>
      <c r="R6">
        <v>22.6</v>
      </c>
      <c r="S6">
        <v>20.248000000000001</v>
      </c>
      <c r="T6">
        <v>19.89</v>
      </c>
      <c r="U6">
        <v>18.373999999999999</v>
      </c>
      <c r="V6">
        <v>0.40200000000000002</v>
      </c>
    </row>
    <row r="7" spans="1:37" x14ac:dyDescent="0.3">
      <c r="A7" s="3"/>
      <c r="B7" s="6" t="s">
        <v>2</v>
      </c>
      <c r="C7">
        <v>28.29</v>
      </c>
      <c r="D7">
        <v>18.149999999999999</v>
      </c>
      <c r="E7">
        <v>1.29</v>
      </c>
      <c r="F7">
        <v>-14.86</v>
      </c>
      <c r="G7">
        <v>-25.64</v>
      </c>
      <c r="H7">
        <v>-36.76</v>
      </c>
      <c r="I7">
        <v>-42.87</v>
      </c>
      <c r="J7">
        <v>-49.33</v>
      </c>
      <c r="K7">
        <v>-56.87</v>
      </c>
      <c r="L7">
        <v>-68.36</v>
      </c>
      <c r="M7">
        <v>-77.69</v>
      </c>
      <c r="N7">
        <v>-84.16</v>
      </c>
      <c r="O7">
        <v>-90.1</v>
      </c>
      <c r="P7">
        <v>-99.233999999999995</v>
      </c>
      <c r="Q7">
        <v>-82</v>
      </c>
      <c r="R7">
        <v>-65.48</v>
      </c>
      <c r="S7">
        <v>-47.537999999999997</v>
      </c>
      <c r="T7">
        <v>-26.72</v>
      </c>
      <c r="U7">
        <v>-6.2530000000000001</v>
      </c>
      <c r="V7">
        <v>31.442</v>
      </c>
    </row>
    <row r="8" spans="1:37" x14ac:dyDescent="0.3">
      <c r="A8" s="3"/>
      <c r="B8" s="4" t="s">
        <v>47</v>
      </c>
      <c r="C8">
        <v>622.09299999999996</v>
      </c>
      <c r="D8">
        <v>620.57899999999995</v>
      </c>
      <c r="E8">
        <v>621.33600000000001</v>
      </c>
      <c r="F8">
        <v>621.34</v>
      </c>
      <c r="G8">
        <v>621.33600000000001</v>
      </c>
      <c r="H8">
        <v>620.58000000000004</v>
      </c>
      <c r="I8">
        <v>622.85</v>
      </c>
      <c r="J8">
        <v>622.09299999999996</v>
      </c>
      <c r="K8">
        <v>621.33600000000001</v>
      </c>
      <c r="L8">
        <v>623.04999999999995</v>
      </c>
      <c r="M8">
        <v>623.33600000000001</v>
      </c>
      <c r="N8">
        <v>620.57899999999995</v>
      </c>
      <c r="O8">
        <v>622.85</v>
      </c>
      <c r="P8">
        <v>621.33600000000001</v>
      </c>
      <c r="Q8">
        <v>621.33600000000001</v>
      </c>
      <c r="R8">
        <v>622.09</v>
      </c>
      <c r="S8">
        <v>622.6</v>
      </c>
      <c r="T8">
        <v>622.85</v>
      </c>
      <c r="U8">
        <v>621.33600000000001</v>
      </c>
      <c r="V8">
        <v>620.57899999999995</v>
      </c>
    </row>
    <row r="9" spans="1:37" x14ac:dyDescent="0.3">
      <c r="A9" s="11" t="s">
        <v>7</v>
      </c>
      <c r="B9" s="7" t="s">
        <v>34</v>
      </c>
      <c r="C9" s="1">
        <v>83</v>
      </c>
      <c r="D9" s="1">
        <v>81</v>
      </c>
      <c r="E9" s="1">
        <v>78</v>
      </c>
      <c r="F9" s="1">
        <v>75</v>
      </c>
      <c r="G9" s="1">
        <v>73</v>
      </c>
      <c r="H9" s="1">
        <v>73</v>
      </c>
      <c r="I9" s="1">
        <v>71</v>
      </c>
      <c r="J9" s="1">
        <v>71</v>
      </c>
      <c r="K9" s="1">
        <v>71</v>
      </c>
      <c r="L9" s="1">
        <v>69</v>
      </c>
      <c r="M9" s="1">
        <v>68</v>
      </c>
      <c r="N9" s="1">
        <v>71</v>
      </c>
      <c r="O9" s="1">
        <v>69</v>
      </c>
      <c r="P9" s="1">
        <v>70</v>
      </c>
      <c r="Q9" s="1">
        <v>71</v>
      </c>
      <c r="R9" s="1">
        <v>71</v>
      </c>
      <c r="S9" s="1">
        <v>73.5</v>
      </c>
      <c r="T9" s="1">
        <v>75</v>
      </c>
      <c r="U9" s="1">
        <v>77.5</v>
      </c>
      <c r="V9" s="1">
        <v>84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</row>
    <row r="10" spans="1:37" x14ac:dyDescent="0.3">
      <c r="A10" s="12"/>
      <c r="B10" s="8" t="s">
        <v>3</v>
      </c>
      <c r="C10">
        <v>367</v>
      </c>
      <c r="D10">
        <v>367</v>
      </c>
      <c r="E10">
        <v>382</v>
      </c>
      <c r="F10">
        <v>398</v>
      </c>
      <c r="G10">
        <v>397</v>
      </c>
      <c r="H10">
        <v>403</v>
      </c>
      <c r="I10">
        <v>407</v>
      </c>
      <c r="J10">
        <v>411</v>
      </c>
      <c r="K10">
        <v>416</v>
      </c>
      <c r="L10">
        <v>422</v>
      </c>
      <c r="M10">
        <v>428</v>
      </c>
      <c r="N10">
        <v>428</v>
      </c>
      <c r="O10">
        <v>434</v>
      </c>
      <c r="P10">
        <v>434</v>
      </c>
      <c r="Q10">
        <v>425</v>
      </c>
      <c r="R10">
        <v>420</v>
      </c>
      <c r="S10">
        <v>398</v>
      </c>
      <c r="T10">
        <v>396</v>
      </c>
      <c r="U10">
        <v>386</v>
      </c>
      <c r="V10">
        <v>366</v>
      </c>
    </row>
    <row r="11" spans="1:37" x14ac:dyDescent="0.3">
      <c r="A11" s="11" t="s">
        <v>8</v>
      </c>
      <c r="B11" s="1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1:37" x14ac:dyDescent="0.3">
      <c r="A12" s="12"/>
      <c r="B12" s="18" t="s">
        <v>33</v>
      </c>
    </row>
    <row r="13" spans="1:37" x14ac:dyDescent="0.3">
      <c r="A13" s="12"/>
      <c r="B13" s="8" t="s">
        <v>10</v>
      </c>
      <c r="C1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</row>
    <row r="14" spans="1:37" x14ac:dyDescent="0.3">
      <c r="A14" s="12"/>
      <c r="B14" s="8" t="s">
        <v>11</v>
      </c>
      <c r="C14">
        <v>78</v>
      </c>
      <c r="D14">
        <v>61</v>
      </c>
      <c r="E14">
        <v>55</v>
      </c>
      <c r="F14">
        <v>48</v>
      </c>
      <c r="G14">
        <v>38</v>
      </c>
      <c r="H14">
        <v>32</v>
      </c>
      <c r="I14">
        <v>30</v>
      </c>
      <c r="J14">
        <v>30</v>
      </c>
      <c r="K14">
        <v>30</v>
      </c>
      <c r="L14">
        <v>29</v>
      </c>
      <c r="M14">
        <v>28</v>
      </c>
      <c r="N14">
        <v>26</v>
      </c>
      <c r="O14">
        <v>23</v>
      </c>
      <c r="P14">
        <v>23</v>
      </c>
      <c r="Q14">
        <v>24</v>
      </c>
      <c r="R14">
        <v>29</v>
      </c>
      <c r="S14">
        <v>31</v>
      </c>
      <c r="T14">
        <v>35</v>
      </c>
      <c r="U14">
        <v>50</v>
      </c>
      <c r="V14">
        <v>88</v>
      </c>
    </row>
    <row r="15" spans="1:37" x14ac:dyDescent="0.3">
      <c r="A15" s="13"/>
      <c r="B15" s="19" t="s">
        <v>4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</row>
    <row r="16" spans="1:37" x14ac:dyDescent="0.3">
      <c r="A16" s="3"/>
      <c r="B16" s="5" t="s">
        <v>6</v>
      </c>
      <c r="C16" s="16">
        <f t="shared" ref="C16:AD16" si="0">C6*SIN(RADIANS(C9+5.15))*C13/1000</f>
        <v>0.38934455560856757</v>
      </c>
      <c r="D16" s="16">
        <f t="shared" si="0"/>
        <v>1.8112948210918218</v>
      </c>
      <c r="E16" s="16">
        <f>E6*SIN(RADIANS(E9+5.15))*E13/1000</f>
        <v>4.4750917512529496</v>
      </c>
      <c r="F16" s="16">
        <f t="shared" si="0"/>
        <v>5.4446222516176634</v>
      </c>
      <c r="G16" s="16">
        <f t="shared" si="0"/>
        <v>5.9469453841091626</v>
      </c>
      <c r="H16" s="16">
        <f t="shared" si="0"/>
        <v>5.6590559428960212</v>
      </c>
      <c r="I16" s="16">
        <f t="shared" si="0"/>
        <v>6.0927652115792634</v>
      </c>
      <c r="J16" s="16">
        <f t="shared" si="0"/>
        <v>6.0976142089621366</v>
      </c>
      <c r="K16" s="16">
        <f t="shared" si="0"/>
        <v>6.3279415846485803</v>
      </c>
      <c r="L16" s="16">
        <f t="shared" si="0"/>
        <v>7.0095037627925798</v>
      </c>
      <c r="M16" s="16">
        <f t="shared" si="0"/>
        <v>7.5711771242618884</v>
      </c>
      <c r="N16" s="16">
        <f t="shared" si="0"/>
        <v>7.937808715762241</v>
      </c>
      <c r="O16" s="16">
        <f t="shared" si="0"/>
        <v>8.3306919291859725</v>
      </c>
      <c r="P16" s="16">
        <f t="shared" si="0"/>
        <v>9.369972199445602</v>
      </c>
      <c r="Q16" s="16">
        <f t="shared" si="0"/>
        <v>7.0892341737595572</v>
      </c>
      <c r="R16" s="16">
        <f t="shared" si="0"/>
        <v>5.4793670426458965</v>
      </c>
      <c r="S16" s="16">
        <f t="shared" si="0"/>
        <v>4.957246848957868</v>
      </c>
      <c r="T16" s="16">
        <f t="shared" si="0"/>
        <v>4.8935172428682936</v>
      </c>
      <c r="U16" s="16">
        <f t="shared" si="0"/>
        <v>4.5504713609212226</v>
      </c>
      <c r="V16" s="16">
        <f t="shared" si="0"/>
        <v>0.10037237370560359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</row>
    <row r="17" spans="1:18" x14ac:dyDescent="0.3">
      <c r="A17" s="3"/>
      <c r="B17" s="3"/>
      <c r="M17" s="3"/>
      <c r="N17" s="3"/>
    </row>
    <row r="18" spans="1:18" x14ac:dyDescent="0.3">
      <c r="A18" s="3"/>
      <c r="B18" t="s">
        <v>72</v>
      </c>
    </row>
    <row r="19" spans="1:18" x14ac:dyDescent="0.3">
      <c r="A19" s="3"/>
      <c r="B19" s="3"/>
    </row>
    <row r="20" spans="1:18" x14ac:dyDescent="0.3">
      <c r="A20" s="3"/>
      <c r="B20" s="3"/>
    </row>
    <row r="21" spans="1:18" x14ac:dyDescent="0.3">
      <c r="A21" s="3"/>
      <c r="B21" s="21" t="s">
        <v>52</v>
      </c>
    </row>
    <row r="22" spans="1:18" x14ac:dyDescent="0.3">
      <c r="A22" s="3"/>
      <c r="B22" s="3"/>
    </row>
    <row r="23" spans="1:18" x14ac:dyDescent="0.3">
      <c r="A23" s="3"/>
      <c r="B23" s="3"/>
    </row>
    <row r="24" spans="1:18" x14ac:dyDescent="0.3">
      <c r="A24" s="3"/>
      <c r="B24" s="3"/>
      <c r="O24" t="s">
        <v>94</v>
      </c>
      <c r="Q24" t="s">
        <v>101</v>
      </c>
      <c r="R24" t="s">
        <v>103</v>
      </c>
    </row>
    <row r="25" spans="1:18" x14ac:dyDescent="0.3">
      <c r="A25" s="3"/>
      <c r="B25" s="3"/>
      <c r="O25">
        <f>AVERAGE(C8:V8)</f>
        <v>621.77425000000005</v>
      </c>
      <c r="Q25">
        <f>MIN(C10:AB10)</f>
        <v>366</v>
      </c>
      <c r="R25">
        <f>MAX(C10:AC10)</f>
        <v>434</v>
      </c>
    </row>
    <row r="26" spans="1:18" x14ac:dyDescent="0.3">
      <c r="A26" s="3"/>
      <c r="B26" s="3"/>
    </row>
    <row r="27" spans="1:18" x14ac:dyDescent="0.3">
      <c r="A27" s="3"/>
      <c r="B27" s="29" t="s">
        <v>69</v>
      </c>
    </row>
    <row r="28" spans="1:18" x14ac:dyDescent="0.3">
      <c r="A28" s="3"/>
      <c r="B28" s="3"/>
    </row>
    <row r="29" spans="1:18" x14ac:dyDescent="0.3">
      <c r="A29" s="3"/>
      <c r="B29" s="3"/>
    </row>
    <row r="30" spans="1:18" x14ac:dyDescent="0.3">
      <c r="A30" s="3"/>
      <c r="B30" s="3"/>
    </row>
    <row r="31" spans="1:18" x14ac:dyDescent="0.3">
      <c r="A31" s="3"/>
      <c r="B31" s="3"/>
    </row>
    <row r="32" spans="1:18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63ADC-AC88-46D9-9481-31EBC409444D}">
  <dimension ref="A1:AK36"/>
  <sheetViews>
    <sheetView zoomScale="70" zoomScaleNormal="70" workbookViewId="0">
      <selection activeCell="E5" sqref="E5"/>
    </sheetView>
  </sheetViews>
  <sheetFormatPr defaultRowHeight="14.4" x14ac:dyDescent="0.3"/>
  <cols>
    <col min="1" max="1" width="26" bestFit="1" customWidth="1"/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  <col min="19" max="19" width="25.21875" bestFit="1" customWidth="1"/>
    <col min="20" max="20" width="24.77734375" bestFit="1" customWidth="1"/>
  </cols>
  <sheetData>
    <row r="1" spans="1:37" x14ac:dyDescent="0.3">
      <c r="A1" s="3" t="s">
        <v>97</v>
      </c>
      <c r="B1" s="3"/>
    </row>
    <row r="2" spans="1:37" x14ac:dyDescent="0.3">
      <c r="A2" s="3" t="s">
        <v>71</v>
      </c>
      <c r="B2" s="3"/>
      <c r="C2">
        <v>457</v>
      </c>
      <c r="E2" t="s">
        <v>68</v>
      </c>
    </row>
    <row r="3" spans="1:37" x14ac:dyDescent="0.3">
      <c r="A3" s="3" t="s">
        <v>70</v>
      </c>
      <c r="B3" s="3"/>
      <c r="C3">
        <v>387</v>
      </c>
      <c r="D3">
        <f>(C3/C2)</f>
        <v>0.84682713347921224</v>
      </c>
      <c r="E3">
        <f>1-D3</f>
        <v>0.15317286652078776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0.71</v>
      </c>
      <c r="D6">
        <v>0.94499999999999995</v>
      </c>
      <c r="E6">
        <v>1.2769999999999999</v>
      </c>
      <c r="F6">
        <v>2.8980000000000001</v>
      </c>
      <c r="G6">
        <v>3.5779999999999998</v>
      </c>
      <c r="H6">
        <v>7.7839999999999998</v>
      </c>
      <c r="I6">
        <v>9.7050000000000001</v>
      </c>
      <c r="J6">
        <v>10.984</v>
      </c>
      <c r="K6">
        <v>11.667</v>
      </c>
      <c r="L6">
        <v>11.925000000000001</v>
      </c>
      <c r="M6">
        <v>12.443</v>
      </c>
      <c r="N6">
        <v>14.452</v>
      </c>
      <c r="O6">
        <v>15.651999999999999</v>
      </c>
      <c r="P6">
        <v>14.798</v>
      </c>
      <c r="Q6">
        <v>17.056000000000001</v>
      </c>
      <c r="R6">
        <v>18.266999999999999</v>
      </c>
      <c r="S6">
        <v>21.821999999999999</v>
      </c>
      <c r="T6">
        <v>22.454000000000001</v>
      </c>
      <c r="U6">
        <v>18.934000000000001</v>
      </c>
      <c r="V6">
        <v>16.04</v>
      </c>
      <c r="W6">
        <v>13.116</v>
      </c>
      <c r="X6">
        <v>9.7759999999999998</v>
      </c>
      <c r="Y6">
        <v>7.2060000000000004</v>
      </c>
      <c r="Z6">
        <v>2.6560000000000001</v>
      </c>
      <c r="AA6">
        <v>1.1100000000000001</v>
      </c>
      <c r="AB6">
        <v>0.95599999999999996</v>
      </c>
    </row>
    <row r="7" spans="1:37" x14ac:dyDescent="0.3">
      <c r="A7" s="3"/>
      <c r="B7" s="6" t="s">
        <v>2</v>
      </c>
      <c r="C7" s="16">
        <v>23.184999999999999</v>
      </c>
      <c r="D7">
        <v>17.440999999999999</v>
      </c>
      <c r="E7">
        <v>9.1839999999999993</v>
      </c>
      <c r="F7">
        <v>2.004</v>
      </c>
      <c r="G7">
        <v>-4.8170000000000002</v>
      </c>
      <c r="H7">
        <v>-10.561</v>
      </c>
      <c r="I7">
        <v>-16.305</v>
      </c>
      <c r="J7">
        <v>-21.331</v>
      </c>
      <c r="K7">
        <v>-26.356999999999999</v>
      </c>
      <c r="L7">
        <v>-32.46</v>
      </c>
      <c r="M7">
        <v>-40.716999999999999</v>
      </c>
      <c r="N7">
        <v>-50.051000000000002</v>
      </c>
      <c r="O7">
        <v>-55.795000000000002</v>
      </c>
      <c r="P7">
        <v>-60.820999999999998</v>
      </c>
      <c r="Q7">
        <v>-67.641999999999996</v>
      </c>
      <c r="R7">
        <v>-73.385999999999996</v>
      </c>
      <c r="S7">
        <v>-84.156000000000006</v>
      </c>
      <c r="T7">
        <v>-90.259</v>
      </c>
      <c r="U7">
        <v>-75.180999999999997</v>
      </c>
      <c r="V7">
        <v>-65.846999999999994</v>
      </c>
      <c r="W7">
        <v>-51.487000000000002</v>
      </c>
      <c r="X7">
        <v>-33.896000000000001</v>
      </c>
      <c r="Y7">
        <v>-17.023</v>
      </c>
      <c r="Z7">
        <v>-4.0990000000000002</v>
      </c>
      <c r="AA7">
        <v>6.3120000000000003</v>
      </c>
      <c r="AB7">
        <v>16.004999999999999</v>
      </c>
    </row>
    <row r="8" spans="1:37" x14ac:dyDescent="0.3">
      <c r="A8" s="3"/>
      <c r="B8" s="4" t="s">
        <v>47</v>
      </c>
      <c r="C8" s="16">
        <v>620.57899999999995</v>
      </c>
      <c r="D8">
        <v>623.60699999999997</v>
      </c>
      <c r="E8">
        <v>622.09299999999996</v>
      </c>
      <c r="F8">
        <v>621.33600000000001</v>
      </c>
      <c r="G8">
        <v>621.33600000000001</v>
      </c>
      <c r="H8">
        <v>623.60699999999997</v>
      </c>
      <c r="I8">
        <v>622.09299999999996</v>
      </c>
      <c r="J8">
        <v>622.09299999999996</v>
      </c>
      <c r="K8">
        <v>621.33600000000001</v>
      </c>
      <c r="L8">
        <v>620.57899999999995</v>
      </c>
      <c r="M8">
        <v>620.58000000000004</v>
      </c>
      <c r="N8">
        <v>623.60699999999997</v>
      </c>
      <c r="O8">
        <v>622.85</v>
      </c>
      <c r="P8">
        <v>623.60699999999997</v>
      </c>
      <c r="Q8">
        <v>623.60699999999997</v>
      </c>
      <c r="R8">
        <v>622.096</v>
      </c>
      <c r="S8">
        <v>620.57899999999995</v>
      </c>
      <c r="T8">
        <v>622.85</v>
      </c>
      <c r="U8">
        <v>623.85</v>
      </c>
      <c r="V8">
        <v>622.85</v>
      </c>
      <c r="W8">
        <v>621.33600000000001</v>
      </c>
      <c r="X8">
        <v>622.09299999999996</v>
      </c>
      <c r="Y8">
        <v>623.60699999999997</v>
      </c>
      <c r="Z8">
        <v>622.85</v>
      </c>
      <c r="AA8">
        <v>622.09299999999996</v>
      </c>
      <c r="AB8">
        <v>621.33600000000001</v>
      </c>
    </row>
    <row r="9" spans="1:37" x14ac:dyDescent="0.3">
      <c r="A9" s="11" t="s">
        <v>7</v>
      </c>
      <c r="B9" s="7" t="s">
        <v>34</v>
      </c>
      <c r="C9" s="15">
        <v>87</v>
      </c>
      <c r="D9" s="1">
        <v>87</v>
      </c>
      <c r="E9" s="1">
        <v>85</v>
      </c>
      <c r="F9" s="1">
        <v>84</v>
      </c>
      <c r="G9" s="1">
        <v>83</v>
      </c>
      <c r="H9" s="1">
        <v>82</v>
      </c>
      <c r="I9" s="1">
        <v>82</v>
      </c>
      <c r="J9" s="1">
        <v>80</v>
      </c>
      <c r="K9" s="1">
        <v>79</v>
      </c>
      <c r="L9" s="1">
        <v>79</v>
      </c>
      <c r="M9" s="1">
        <v>79</v>
      </c>
      <c r="N9" s="1">
        <v>75</v>
      </c>
      <c r="O9" s="1">
        <v>75</v>
      </c>
      <c r="P9" s="1">
        <v>74</v>
      </c>
      <c r="Q9" s="1">
        <v>74</v>
      </c>
      <c r="R9" s="1">
        <v>73</v>
      </c>
      <c r="S9" s="1">
        <v>74</v>
      </c>
      <c r="T9" s="1">
        <v>75</v>
      </c>
      <c r="U9" s="1">
        <v>74</v>
      </c>
      <c r="V9" s="1">
        <v>74</v>
      </c>
      <c r="W9" s="1">
        <v>76</v>
      </c>
      <c r="X9" s="1">
        <v>79</v>
      </c>
      <c r="Y9" s="1">
        <v>81</v>
      </c>
      <c r="Z9" s="1">
        <v>82</v>
      </c>
      <c r="AA9" s="1">
        <v>84</v>
      </c>
      <c r="AB9" s="1">
        <v>85</v>
      </c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404</v>
      </c>
      <c r="D10">
        <v>398</v>
      </c>
      <c r="E10">
        <v>393</v>
      </c>
      <c r="F10">
        <v>393</v>
      </c>
      <c r="G10">
        <v>390</v>
      </c>
      <c r="H10">
        <v>394</v>
      </c>
      <c r="I10">
        <v>397</v>
      </c>
      <c r="J10">
        <v>399</v>
      </c>
      <c r="K10">
        <v>400</v>
      </c>
      <c r="L10">
        <v>404</v>
      </c>
      <c r="M10">
        <v>407</v>
      </c>
      <c r="N10">
        <v>410</v>
      </c>
      <c r="O10">
        <v>410</v>
      </c>
      <c r="P10">
        <v>414</v>
      </c>
      <c r="Q10">
        <v>415</v>
      </c>
      <c r="R10">
        <v>416</v>
      </c>
      <c r="S10">
        <v>423</v>
      </c>
      <c r="T10">
        <v>424</v>
      </c>
      <c r="U10">
        <v>418</v>
      </c>
      <c r="V10">
        <v>417</v>
      </c>
      <c r="W10">
        <v>410</v>
      </c>
      <c r="X10">
        <v>404</v>
      </c>
      <c r="Y10">
        <v>396</v>
      </c>
      <c r="Z10">
        <v>387</v>
      </c>
      <c r="AA10">
        <v>388</v>
      </c>
      <c r="AB10">
        <v>387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80</v>
      </c>
      <c r="D14">
        <v>73</v>
      </c>
      <c r="E14">
        <v>65</v>
      </c>
      <c r="F14">
        <v>55</v>
      </c>
      <c r="G14">
        <v>53</v>
      </c>
      <c r="H14">
        <v>50</v>
      </c>
      <c r="I14">
        <v>48</v>
      </c>
      <c r="J14">
        <v>44</v>
      </c>
      <c r="K14">
        <v>40</v>
      </c>
      <c r="L14">
        <f>510-475</f>
        <v>35</v>
      </c>
      <c r="M14">
        <v>32</v>
      </c>
      <c r="N14">
        <v>30</v>
      </c>
      <c r="O14">
        <v>30</v>
      </c>
      <c r="P14">
        <v>28</v>
      </c>
      <c r="Q14">
        <v>28</v>
      </c>
      <c r="R14">
        <v>28</v>
      </c>
      <c r="S14">
        <v>28</v>
      </c>
      <c r="T14">
        <v>27</v>
      </c>
      <c r="U14">
        <v>30</v>
      </c>
      <c r="V14">
        <v>29</v>
      </c>
      <c r="W14">
        <v>33</v>
      </c>
      <c r="X14">
        <v>37</v>
      </c>
      <c r="Y14">
        <v>44</v>
      </c>
      <c r="Z14">
        <v>50</v>
      </c>
      <c r="AA14">
        <v>59</v>
      </c>
      <c r="AB14">
        <v>72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C6*SIN(RADIANS(C9+5.15))*C13/1000</f>
        <v>0.17716929126497558</v>
      </c>
      <c r="D16" s="16">
        <f t="shared" ref="D16:AE16" si="0">D6*SIN(RADIANS(D9+5.15))*D13/1000</f>
        <v>0.23580983133155201</v>
      </c>
      <c r="E16" s="16">
        <f t="shared" si="0"/>
        <v>0.31887857721722329</v>
      </c>
      <c r="F16" s="16">
        <f>F6*SIN(RADIANS(F9+5.15))*F13/1000</f>
        <v>0.72357994775830636</v>
      </c>
      <c r="G16" s="16">
        <f t="shared" si="0"/>
        <v>0.89299667946631711</v>
      </c>
      <c r="H16" s="16">
        <f t="shared" si="0"/>
        <v>1.9413384783051184</v>
      </c>
      <c r="I16" s="16">
        <f t="shared" si="0"/>
        <v>2.4204380693667997</v>
      </c>
      <c r="J16" s="16">
        <f t="shared" si="0"/>
        <v>2.7329938745931397</v>
      </c>
      <c r="K16" s="16">
        <f t="shared" si="0"/>
        <v>2.898194169907315</v>
      </c>
      <c r="L16" s="16">
        <f t="shared" si="0"/>
        <v>2.9622838327028997</v>
      </c>
      <c r="M16" s="16">
        <f t="shared" si="0"/>
        <v>3.0909599773855079</v>
      </c>
      <c r="N16" s="16">
        <f t="shared" si="0"/>
        <v>3.5556114225204913</v>
      </c>
      <c r="O16" s="16">
        <f t="shared" si="0"/>
        <v>3.8508462486362252</v>
      </c>
      <c r="P16" s="16">
        <f t="shared" si="0"/>
        <v>3.6291506505175044</v>
      </c>
      <c r="Q16" s="16">
        <f t="shared" si="0"/>
        <v>4.1829161707816302</v>
      </c>
      <c r="R16" s="16">
        <f t="shared" si="0"/>
        <v>4.4642414453654187</v>
      </c>
      <c r="S16" s="16">
        <f t="shared" si="0"/>
        <v>5.3517587170964296</v>
      </c>
      <c r="T16" s="16">
        <f t="shared" si="0"/>
        <v>5.5243356546689117</v>
      </c>
      <c r="U16" s="16">
        <f t="shared" si="0"/>
        <v>4.6434882022501975</v>
      </c>
      <c r="V16" s="16">
        <f>V6*SIN(RADIANS(V9+5.15))*V13/1000</f>
        <v>3.9337462112650874</v>
      </c>
      <c r="W16" s="16">
        <f t="shared" si="0"/>
        <v>3.2362035092330919</v>
      </c>
      <c r="X16" s="16">
        <f t="shared" si="0"/>
        <v>2.4284517189520791</v>
      </c>
      <c r="Y16" s="16">
        <f t="shared" si="0"/>
        <v>1.7953494471509861</v>
      </c>
      <c r="Z16" s="16">
        <f t="shared" si="0"/>
        <v>0.66240942939085234</v>
      </c>
      <c r="AA16" s="16">
        <f t="shared" si="0"/>
        <v>0.27714759903786063</v>
      </c>
      <c r="AB16" s="16">
        <f t="shared" si="0"/>
        <v>0.23872194191046633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0" x14ac:dyDescent="0.3">
      <c r="A17" s="3"/>
      <c r="B17" s="3"/>
      <c r="N17" s="3"/>
      <c r="O17" s="3"/>
      <c r="S17" t="s">
        <v>98</v>
      </c>
      <c r="T17" t="s">
        <v>99</v>
      </c>
    </row>
    <row r="18" spans="1:20" x14ac:dyDescent="0.3">
      <c r="A18" s="3"/>
      <c r="B18" t="s">
        <v>72</v>
      </c>
    </row>
    <row r="19" spans="1:20" x14ac:dyDescent="0.3">
      <c r="A19" s="3"/>
      <c r="B19" s="3"/>
    </row>
    <row r="20" spans="1:20" x14ac:dyDescent="0.3">
      <c r="A20" s="3"/>
      <c r="B20" s="3"/>
    </row>
    <row r="21" spans="1:20" x14ac:dyDescent="0.3">
      <c r="A21" s="3"/>
      <c r="B21" s="21" t="s">
        <v>52</v>
      </c>
    </row>
    <row r="22" spans="1:20" x14ac:dyDescent="0.3">
      <c r="A22" s="3"/>
      <c r="B22" s="3"/>
    </row>
    <row r="23" spans="1:20" x14ac:dyDescent="0.3">
      <c r="A23" s="3"/>
      <c r="B23" s="3"/>
    </row>
    <row r="24" spans="1:20" x14ac:dyDescent="0.3">
      <c r="A24" s="3"/>
      <c r="B24" s="3"/>
      <c r="P24" t="s">
        <v>93</v>
      </c>
      <c r="Q24" t="s">
        <v>101</v>
      </c>
      <c r="R24" t="s">
        <v>103</v>
      </c>
    </row>
    <row r="25" spans="1:20" x14ac:dyDescent="0.3">
      <c r="A25" s="3"/>
      <c r="B25" s="3"/>
      <c r="P25">
        <f>AVERAGE(C8:AB8)</f>
        <v>622.24807692307695</v>
      </c>
      <c r="Q25">
        <f>MIN(C10:AB10)</f>
        <v>387</v>
      </c>
      <c r="R25">
        <f>MAX(C10:AC10)</f>
        <v>424</v>
      </c>
    </row>
    <row r="26" spans="1:20" x14ac:dyDescent="0.3">
      <c r="A26" s="3"/>
      <c r="B26" s="3"/>
    </row>
    <row r="27" spans="1:20" x14ac:dyDescent="0.3">
      <c r="A27" s="3"/>
      <c r="B27" s="29" t="s">
        <v>69</v>
      </c>
    </row>
    <row r="28" spans="1:20" x14ac:dyDescent="0.3">
      <c r="A28" s="3"/>
      <c r="B28" s="3"/>
    </row>
    <row r="29" spans="1:20" x14ac:dyDescent="0.3">
      <c r="A29" s="3"/>
      <c r="B29" s="3"/>
    </row>
    <row r="30" spans="1:20" x14ac:dyDescent="0.3">
      <c r="A30" s="3"/>
      <c r="B30" s="3"/>
    </row>
    <row r="31" spans="1:20" x14ac:dyDescent="0.3">
      <c r="A31" s="3"/>
      <c r="B31" s="3"/>
    </row>
    <row r="32" spans="1:20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22"/>
  <sheetViews>
    <sheetView workbookViewId="0">
      <selection activeCell="F31" sqref="F31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18</v>
      </c>
    </row>
    <row r="3" spans="1:36" x14ac:dyDescent="0.3">
      <c r="B3" s="3" t="s">
        <v>14</v>
      </c>
      <c r="C3">
        <f>C2-C2*0.17</f>
        <v>402.55</v>
      </c>
    </row>
    <row r="4" spans="1:36" x14ac:dyDescent="0.3">
      <c r="B4" s="3" t="s">
        <v>17</v>
      </c>
      <c r="C4">
        <v>398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  <row r="21" spans="13:14" x14ac:dyDescent="0.3">
      <c r="M21" t="s">
        <v>101</v>
      </c>
      <c r="N21" t="s">
        <v>103</v>
      </c>
    </row>
    <row r="22" spans="13:14" x14ac:dyDescent="0.3">
      <c r="M22">
        <f>MIN(C10:AZ10)</f>
        <v>406</v>
      </c>
      <c r="N22">
        <f>MAX(C10:AZ10)</f>
        <v>467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M19" sqref="M1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21</v>
      </c>
    </row>
    <row r="3" spans="1:36" x14ac:dyDescent="0.3">
      <c r="B3" s="3" t="s">
        <v>14</v>
      </c>
      <c r="C3">
        <f>C2-C2*0.17</f>
        <v>402.55</v>
      </c>
      <c r="F3" t="s">
        <v>41</v>
      </c>
    </row>
    <row r="4" spans="1:36" x14ac:dyDescent="0.3">
      <c r="B4" s="3" t="s">
        <v>17</v>
      </c>
      <c r="C4">
        <v>398</v>
      </c>
      <c r="L4" t="s">
        <v>16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L16" t="s">
        <v>19</v>
      </c>
    </row>
    <row r="21" spans="13:18" x14ac:dyDescent="0.3">
      <c r="M21" t="s">
        <v>101</v>
      </c>
      <c r="N21" t="s">
        <v>103</v>
      </c>
    </row>
    <row r="22" spans="13:18" x14ac:dyDescent="0.3">
      <c r="M22">
        <f>MIN(C10:AZ10)</f>
        <v>404</v>
      </c>
      <c r="N22">
        <f>MAX(C10:AZ10)</f>
        <v>467</v>
      </c>
    </row>
    <row r="29" spans="13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K24" sqref="K24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457</v>
      </c>
      <c r="F2" t="s">
        <v>18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384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">
      <c r="J18">
        <f>1-348/457</f>
        <v>0.23851203501094087</v>
      </c>
    </row>
    <row r="21" spans="10:18" x14ac:dyDescent="0.3">
      <c r="M21" t="s">
        <v>101</v>
      </c>
      <c r="N21" t="s">
        <v>103</v>
      </c>
    </row>
    <row r="22" spans="10:18" x14ac:dyDescent="0.3">
      <c r="M22">
        <f>MIN(C10:AZ10)</f>
        <v>376</v>
      </c>
      <c r="N22">
        <f>MAX(C10:AZ10)</f>
        <v>428</v>
      </c>
    </row>
    <row r="29" spans="10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26E4-CFF3-41E2-8721-B0918FFC9B0E}">
  <dimension ref="A1:AK36"/>
  <sheetViews>
    <sheetView zoomScale="85" zoomScaleNormal="85" workbookViewId="0">
      <selection activeCell="B18" sqref="B18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79</v>
      </c>
      <c r="B1" s="3"/>
    </row>
    <row r="2" spans="1:37" x14ac:dyDescent="0.3">
      <c r="A2" s="3" t="s">
        <v>71</v>
      </c>
      <c r="B2" s="3"/>
      <c r="C2">
        <v>479</v>
      </c>
      <c r="E2" t="s">
        <v>80</v>
      </c>
    </row>
    <row r="3" spans="1:37" x14ac:dyDescent="0.3">
      <c r="A3" s="3" t="s">
        <v>70</v>
      </c>
      <c r="B3" s="3"/>
      <c r="C3">
        <v>403</v>
      </c>
      <c r="D3">
        <f>(C3/C2)</f>
        <v>0.84133611691022969</v>
      </c>
      <c r="E3">
        <f>1-D3</f>
        <v>0.15866388308977031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7.6539999999999999</v>
      </c>
      <c r="D6">
        <v>16.346</v>
      </c>
      <c r="E6">
        <v>28.263000000000002</v>
      </c>
      <c r="F6">
        <v>41.6</v>
      </c>
      <c r="G6">
        <v>53.704999999999998</v>
      </c>
      <c r="H6">
        <v>59.472000000000001</v>
      </c>
      <c r="I6">
        <v>63.2</v>
      </c>
      <c r="J6">
        <v>65.655000000000001</v>
      </c>
      <c r="K6">
        <v>63.7</v>
      </c>
      <c r="L6">
        <v>61.6</v>
      </c>
      <c r="M6">
        <v>60.4</v>
      </c>
      <c r="N6">
        <v>2.2599999999999998</v>
      </c>
      <c r="O6">
        <v>9.8000000000000007</v>
      </c>
      <c r="P6">
        <v>21</v>
      </c>
      <c r="Q6">
        <v>44</v>
      </c>
      <c r="R6">
        <v>55.9</v>
      </c>
      <c r="S6">
        <v>67.599999999999994</v>
      </c>
      <c r="T6">
        <v>75.8</v>
      </c>
    </row>
    <row r="7" spans="1:37" x14ac:dyDescent="0.3">
      <c r="A7" s="3"/>
      <c r="B7" s="6" t="s">
        <v>2</v>
      </c>
      <c r="C7" s="16">
        <v>-68.718999999999994</v>
      </c>
      <c r="D7">
        <v>-61.898000000000003</v>
      </c>
      <c r="E7">
        <v>-54.359000000000002</v>
      </c>
      <c r="F7">
        <v>-46.460999999999999</v>
      </c>
      <c r="G7">
        <v>-38.204000000000001</v>
      </c>
      <c r="H7">
        <v>-32.100999999999999</v>
      </c>
      <c r="I7">
        <v>-27.8</v>
      </c>
      <c r="J7">
        <v>-24.202999999999999</v>
      </c>
      <c r="K7">
        <v>-25.6</v>
      </c>
      <c r="L7">
        <v>-16</v>
      </c>
      <c r="M7">
        <v>-20.6</v>
      </c>
      <c r="N7">
        <v>-70.81</v>
      </c>
      <c r="O7">
        <v>-63</v>
      </c>
      <c r="P7">
        <v>-53.6</v>
      </c>
      <c r="Q7">
        <v>-39.280999999999999</v>
      </c>
      <c r="R7">
        <v>-29.6</v>
      </c>
      <c r="S7">
        <v>-16.3</v>
      </c>
      <c r="T7">
        <v>-10.199999999999999</v>
      </c>
    </row>
    <row r="8" spans="1:37" x14ac:dyDescent="0.3">
      <c r="A8" s="3"/>
      <c r="B8" s="4" t="s">
        <v>47</v>
      </c>
      <c r="C8" s="16">
        <v>621.33600000000001</v>
      </c>
      <c r="D8">
        <v>623.60699999999997</v>
      </c>
      <c r="E8">
        <v>622.85</v>
      </c>
      <c r="F8">
        <v>622.85</v>
      </c>
      <c r="G8">
        <v>621.33600000000001</v>
      </c>
      <c r="H8">
        <v>621.33600000000001</v>
      </c>
      <c r="I8">
        <v>623.60699999999997</v>
      </c>
      <c r="J8">
        <v>622.85</v>
      </c>
      <c r="K8">
        <v>622.79999999999995</v>
      </c>
      <c r="L8">
        <v>623.6</v>
      </c>
      <c r="M8">
        <v>622</v>
      </c>
      <c r="N8">
        <v>626</v>
      </c>
      <c r="O8">
        <v>624</v>
      </c>
      <c r="P8">
        <v>622</v>
      </c>
      <c r="Q8">
        <v>625.1</v>
      </c>
      <c r="R8">
        <v>625.1</v>
      </c>
      <c r="S8">
        <v>623.6</v>
      </c>
      <c r="T8">
        <v>623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86</v>
      </c>
      <c r="E9" s="1">
        <v>84.5</v>
      </c>
      <c r="F9" s="1">
        <v>98.5</v>
      </c>
      <c r="G9" s="1">
        <v>87</v>
      </c>
      <c r="H9" s="1">
        <v>86</v>
      </c>
      <c r="I9" s="1">
        <v>85</v>
      </c>
      <c r="J9" s="1">
        <v>83</v>
      </c>
      <c r="K9" s="1">
        <v>57.5</v>
      </c>
      <c r="L9" s="1">
        <v>88</v>
      </c>
      <c r="M9" s="1">
        <v>89</v>
      </c>
      <c r="N9" s="1">
        <v>84.5</v>
      </c>
      <c r="O9" s="1">
        <v>87.5</v>
      </c>
      <c r="P9" s="1">
        <v>87</v>
      </c>
      <c r="Q9" s="1">
        <v>89</v>
      </c>
      <c r="R9" s="1">
        <v>90</v>
      </c>
      <c r="S9" s="1">
        <v>88.5</v>
      </c>
      <c r="T9" s="1">
        <v>26.5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408</v>
      </c>
      <c r="D10">
        <v>410</v>
      </c>
      <c r="E10">
        <v>421</v>
      </c>
      <c r="F10">
        <v>427</v>
      </c>
      <c r="G10">
        <v>437</v>
      </c>
      <c r="H10">
        <v>441</v>
      </c>
      <c r="I10">
        <v>444</v>
      </c>
      <c r="J10">
        <v>447</v>
      </c>
      <c r="K10">
        <v>445</v>
      </c>
      <c r="L10">
        <v>452</v>
      </c>
      <c r="M10">
        <v>449</v>
      </c>
      <c r="N10">
        <v>403</v>
      </c>
      <c r="O10">
        <v>407</v>
      </c>
      <c r="P10">
        <v>415</v>
      </c>
      <c r="Q10">
        <v>430</v>
      </c>
      <c r="R10">
        <v>438</v>
      </c>
      <c r="S10">
        <v>450</v>
      </c>
      <c r="T10">
        <v>453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260.20999999999998</v>
      </c>
      <c r="D13" s="16">
        <v>260.20999999999998</v>
      </c>
      <c r="E13" s="16">
        <v>260.20999999999998</v>
      </c>
      <c r="F13" s="16">
        <v>260.20999999999998</v>
      </c>
      <c r="G13" s="16">
        <v>260.20999999999998</v>
      </c>
      <c r="H13" s="16">
        <v>260.20999999999998</v>
      </c>
      <c r="I13" s="16">
        <v>260.20999999999998</v>
      </c>
      <c r="J13" s="16">
        <v>260.20999999999998</v>
      </c>
      <c r="K13" s="16">
        <v>260.20999999999998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62</v>
      </c>
      <c r="D14">
        <v>71</v>
      </c>
      <c r="E14">
        <v>72</v>
      </c>
      <c r="F14">
        <v>82</v>
      </c>
      <c r="G14">
        <v>82</v>
      </c>
      <c r="H14">
        <v>80</v>
      </c>
      <c r="I14">
        <v>79</v>
      </c>
      <c r="J14">
        <v>77</v>
      </c>
      <c r="K14">
        <v>75</v>
      </c>
      <c r="L14">
        <v>74</v>
      </c>
      <c r="M14">
        <v>75</v>
      </c>
      <c r="N14">
        <v>55</v>
      </c>
      <c r="O14">
        <v>65</v>
      </c>
      <c r="P14">
        <v>75</v>
      </c>
      <c r="Q14">
        <v>76</v>
      </c>
      <c r="R14">
        <v>75</v>
      </c>
      <c r="S14">
        <v>75</v>
      </c>
      <c r="T14">
        <v>67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-C6*SIN(RADIANS(C9+4.96))*C13/1000</f>
        <v>-1.9888446022622024</v>
      </c>
      <c r="D16" s="16">
        <f t="shared" ref="D16:K16" si="0">-D6*SIN(RADIANS(D9+4.96))*D13/1000</f>
        <v>-4.2527956349925518</v>
      </c>
      <c r="E16" s="16">
        <f t="shared" si="0"/>
        <v>-7.3539886035989408</v>
      </c>
      <c r="F16" s="16">
        <f t="shared" si="0"/>
        <v>-10.527409285407064</v>
      </c>
      <c r="G16" s="16">
        <f t="shared" si="0"/>
        <v>-13.966402193997661</v>
      </c>
      <c r="H16" s="16">
        <f t="shared" si="0"/>
        <v>-15.473036951197667</v>
      </c>
      <c r="I16" s="16">
        <f t="shared" si="0"/>
        <v>-16.445267992387105</v>
      </c>
      <c r="J16" s="16">
        <f t="shared" si="0"/>
        <v>-17.07325998043143</v>
      </c>
      <c r="K16" s="16">
        <f t="shared" si="0"/>
        <v>-14.697192119709124</v>
      </c>
      <c r="L16" s="16">
        <f t="shared" ref="L16:AE16" si="1">-L6*SIN(RADIANS(L9+5.15))*L13/1000</f>
        <v>-15.358895091501429</v>
      </c>
      <c r="M16" s="16">
        <f t="shared" si="1"/>
        <v>-15.042937875530633</v>
      </c>
      <c r="N16" s="16">
        <f t="shared" si="1"/>
        <v>-0.56433407059449248</v>
      </c>
      <c r="O16" s="16">
        <f t="shared" si="1"/>
        <v>-2.4445410159422072</v>
      </c>
      <c r="P16" s="16">
        <f t="shared" si="1"/>
        <v>-5.2402184740344895</v>
      </c>
      <c r="Q16" s="16">
        <f t="shared" si="1"/>
        <v>-10.95843156495609</v>
      </c>
      <c r="R16" s="16">
        <f t="shared" si="1"/>
        <v>-13.902438921694182</v>
      </c>
      <c r="S16" s="16">
        <f t="shared" si="1"/>
        <v>-16.846155017276384</v>
      </c>
      <c r="T16" s="16">
        <f t="shared" si="1"/>
        <v>-9.9320795468220986</v>
      </c>
      <c r="U16" s="16">
        <f t="shared" si="1"/>
        <v>0</v>
      </c>
      <c r="V16" s="16">
        <f t="shared" si="1"/>
        <v>0</v>
      </c>
      <c r="W16" s="16">
        <f t="shared" si="1"/>
        <v>0</v>
      </c>
      <c r="X16" s="16">
        <f t="shared" si="1"/>
        <v>0</v>
      </c>
      <c r="Y16" s="16">
        <f t="shared" si="1"/>
        <v>0</v>
      </c>
      <c r="Z16" s="16">
        <f t="shared" si="1"/>
        <v>0</v>
      </c>
      <c r="AA16" s="16">
        <f t="shared" si="1"/>
        <v>0</v>
      </c>
      <c r="AB16" s="16">
        <f t="shared" si="1"/>
        <v>0</v>
      </c>
      <c r="AC16" s="16">
        <f t="shared" si="1"/>
        <v>0</v>
      </c>
      <c r="AD16" s="16">
        <f t="shared" si="1"/>
        <v>0</v>
      </c>
      <c r="AE16" s="16">
        <f t="shared" si="1"/>
        <v>0</v>
      </c>
    </row>
    <row r="17" spans="1:15" x14ac:dyDescent="0.3">
      <c r="A17" s="3"/>
      <c r="B17" s="3"/>
      <c r="N17" s="3"/>
      <c r="O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</row>
    <row r="21" spans="1:15" x14ac:dyDescent="0.3">
      <c r="A21" s="3"/>
      <c r="B21" s="21" t="s">
        <v>52</v>
      </c>
      <c r="M21" t="s">
        <v>93</v>
      </c>
      <c r="N21" t="s">
        <v>101</v>
      </c>
      <c r="O21" t="s">
        <v>103</v>
      </c>
    </row>
    <row r="22" spans="1:15" x14ac:dyDescent="0.3">
      <c r="A22" s="3"/>
      <c r="B22" s="3"/>
      <c r="M22">
        <f>AVERAGE(C8:T8)</f>
        <v>623.16511111111129</v>
      </c>
      <c r="N22">
        <f>MIN(C10:BA10)</f>
        <v>403</v>
      </c>
      <c r="O22">
        <f>MAX(C10:BA10)</f>
        <v>453</v>
      </c>
    </row>
    <row r="23" spans="1:15" x14ac:dyDescent="0.3">
      <c r="A23" s="3"/>
      <c r="B23" s="3"/>
    </row>
    <row r="24" spans="1:15" x14ac:dyDescent="0.3">
      <c r="A24" s="3"/>
      <c r="B24" s="3"/>
    </row>
    <row r="25" spans="1:15" x14ac:dyDescent="0.3">
      <c r="A25" s="3"/>
      <c r="B25" s="3"/>
    </row>
    <row r="26" spans="1:15" x14ac:dyDescent="0.3">
      <c r="A26" s="3"/>
      <c r="B26" s="3"/>
    </row>
    <row r="27" spans="1:15" x14ac:dyDescent="0.3">
      <c r="A27" s="3"/>
      <c r="B27" s="3"/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407B-6063-4D38-82E5-CAFE7B595AB6}">
  <dimension ref="A1:AK36"/>
  <sheetViews>
    <sheetView zoomScale="70" zoomScaleNormal="70" workbookViewId="0">
      <selection activeCell="B18" sqref="B18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81</v>
      </c>
      <c r="B1" s="3"/>
    </row>
    <row r="2" spans="1:37" x14ac:dyDescent="0.3">
      <c r="A2" s="3" t="s">
        <v>71</v>
      </c>
      <c r="B2" s="3"/>
      <c r="C2">
        <v>406</v>
      </c>
      <c r="E2" t="s">
        <v>80</v>
      </c>
    </row>
    <row r="3" spans="1:37" x14ac:dyDescent="0.3">
      <c r="A3" s="3" t="s">
        <v>70</v>
      </c>
      <c r="B3" s="3"/>
      <c r="C3">
        <v>338</v>
      </c>
      <c r="D3">
        <f>(C3/C2)</f>
        <v>0.83251231527093594</v>
      </c>
      <c r="E3">
        <f>1-D3</f>
        <v>0.16748768472906406</v>
      </c>
    </row>
    <row r="4" spans="1:37" x14ac:dyDescent="0.3">
      <c r="A4" s="3" t="s">
        <v>35</v>
      </c>
      <c r="B4" s="3"/>
      <c r="C4">
        <v>35</v>
      </c>
      <c r="E4" t="s">
        <v>59</v>
      </c>
      <c r="H4" t="s">
        <v>83</v>
      </c>
      <c r="O4" s="3"/>
      <c r="Q4" t="s">
        <v>26</v>
      </c>
      <c r="R4" t="s">
        <v>86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0.2</v>
      </c>
      <c r="D6">
        <v>3.4</v>
      </c>
      <c r="E6">
        <v>7</v>
      </c>
      <c r="F6">
        <v>11.8</v>
      </c>
      <c r="G6">
        <v>18.5</v>
      </c>
      <c r="H6">
        <v>74.64</v>
      </c>
      <c r="I6">
        <v>0.6</v>
      </c>
      <c r="J6">
        <v>3.16</v>
      </c>
      <c r="K6">
        <v>7.5</v>
      </c>
      <c r="L6">
        <v>11.89</v>
      </c>
      <c r="M6">
        <v>20.6</v>
      </c>
      <c r="N6">
        <v>30.58</v>
      </c>
      <c r="O6">
        <v>40.848999999999997</v>
      </c>
      <c r="P6">
        <v>49.58</v>
      </c>
      <c r="Q6">
        <v>66.7</v>
      </c>
      <c r="R6">
        <v>73.463999999999999</v>
      </c>
      <c r="S6">
        <v>79.912000000000006</v>
      </c>
      <c r="T6">
        <v>82.4</v>
      </c>
      <c r="U6">
        <v>81.5</v>
      </c>
    </row>
    <row r="7" spans="1:37" x14ac:dyDescent="0.3">
      <c r="A7" s="3"/>
      <c r="B7" s="6" t="s">
        <v>2</v>
      </c>
      <c r="C7" s="16">
        <v>-113.5</v>
      </c>
      <c r="D7">
        <v>-102</v>
      </c>
      <c r="E7">
        <v>-94.207999999999998</v>
      </c>
      <c r="F7">
        <v>-87.7</v>
      </c>
      <c r="G7">
        <v>-80.5</v>
      </c>
      <c r="H7">
        <v>-45</v>
      </c>
      <c r="I7">
        <v>-112.5</v>
      </c>
      <c r="J7">
        <v>-102.4</v>
      </c>
      <c r="K7">
        <v>-92</v>
      </c>
      <c r="L7">
        <v>-86</v>
      </c>
      <c r="M7">
        <v>-77.694000000000003</v>
      </c>
      <c r="N7">
        <v>-70.8</v>
      </c>
      <c r="O7">
        <v>-65.129000000000005</v>
      </c>
      <c r="P7">
        <v>-60.462000000000003</v>
      </c>
      <c r="Q7">
        <v>-50.768999999999998</v>
      </c>
      <c r="R7">
        <v>-45.74</v>
      </c>
      <c r="S7">
        <v>-40.716999999999999</v>
      </c>
      <c r="T7">
        <v>-34.972999999999999</v>
      </c>
      <c r="U7">
        <v>-29.228999999999999</v>
      </c>
    </row>
    <row r="8" spans="1:37" x14ac:dyDescent="0.3">
      <c r="A8" s="3"/>
      <c r="B8" s="4" t="s">
        <v>47</v>
      </c>
      <c r="C8" s="16">
        <v>624</v>
      </c>
      <c r="D8">
        <v>623</v>
      </c>
      <c r="E8">
        <v>624.36500000000001</v>
      </c>
      <c r="F8">
        <v>624</v>
      </c>
      <c r="G8">
        <v>623</v>
      </c>
      <c r="H8">
        <v>622.79999999999995</v>
      </c>
      <c r="I8">
        <v>625</v>
      </c>
      <c r="J8">
        <v>624.5</v>
      </c>
      <c r="K8">
        <v>624</v>
      </c>
      <c r="L8">
        <v>622</v>
      </c>
      <c r="M8">
        <v>622</v>
      </c>
      <c r="N8">
        <v>625</v>
      </c>
      <c r="O8">
        <v>624.36500000000001</v>
      </c>
      <c r="P8">
        <v>623.60699999999997</v>
      </c>
      <c r="Q8">
        <v>622.85</v>
      </c>
      <c r="R8">
        <v>621.33600000000001</v>
      </c>
      <c r="S8">
        <v>622.85</v>
      </c>
      <c r="T8">
        <v>623.60699999999997</v>
      </c>
      <c r="U8">
        <v>622.79999999999995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81</v>
      </c>
      <c r="E9" s="1">
        <v>83</v>
      </c>
      <c r="F9" s="1">
        <v>86</v>
      </c>
      <c r="G9" s="1">
        <v>84</v>
      </c>
      <c r="H9" s="1">
        <v>88</v>
      </c>
      <c r="I9" s="1">
        <v>85</v>
      </c>
      <c r="J9" s="1">
        <v>85.5</v>
      </c>
      <c r="K9" s="1">
        <v>85</v>
      </c>
      <c r="L9" s="1">
        <v>85</v>
      </c>
      <c r="M9" s="1">
        <v>88</v>
      </c>
      <c r="N9" s="1">
        <v>88</v>
      </c>
      <c r="O9" s="1">
        <v>89</v>
      </c>
      <c r="P9" s="1">
        <v>90</v>
      </c>
      <c r="Q9" s="1">
        <v>90</v>
      </c>
      <c r="R9" s="1">
        <v>89</v>
      </c>
      <c r="S9" s="1">
        <v>90</v>
      </c>
      <c r="T9" s="1">
        <v>89</v>
      </c>
      <c r="U9" s="1">
        <v>90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339</v>
      </c>
      <c r="D10">
        <v>340</v>
      </c>
      <c r="E10">
        <v>341</v>
      </c>
      <c r="F10">
        <v>343</v>
      </c>
      <c r="G10">
        <v>346</v>
      </c>
      <c r="H10">
        <v>378</v>
      </c>
      <c r="I10">
        <v>336</v>
      </c>
      <c r="J10">
        <v>337</v>
      </c>
      <c r="K10">
        <v>339</v>
      </c>
      <c r="L10">
        <v>341</v>
      </c>
      <c r="M10">
        <v>346</v>
      </c>
      <c r="N10">
        <v>351</v>
      </c>
      <c r="O10">
        <v>356</v>
      </c>
      <c r="P10">
        <v>361</v>
      </c>
      <c r="Q10">
        <v>370</v>
      </c>
      <c r="R10">
        <v>374</v>
      </c>
      <c r="S10">
        <v>378</v>
      </c>
      <c r="T10">
        <v>381</v>
      </c>
      <c r="U10">
        <v>382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>
        <v>245.83</v>
      </c>
      <c r="D13">
        <v>245.83</v>
      </c>
      <c r="E13">
        <v>245.83</v>
      </c>
      <c r="F13">
        <v>245.83</v>
      </c>
      <c r="G13">
        <v>245.83</v>
      </c>
      <c r="H13">
        <v>245.83</v>
      </c>
      <c r="I13">
        <v>245.83</v>
      </c>
      <c r="J13">
        <v>245.83</v>
      </c>
      <c r="K13">
        <v>245.83</v>
      </c>
      <c r="L13">
        <v>245.83</v>
      </c>
      <c r="M13">
        <v>245.83</v>
      </c>
      <c r="N13">
        <v>245.83</v>
      </c>
      <c r="O13">
        <v>245.83</v>
      </c>
      <c r="P13">
        <v>245.83</v>
      </c>
      <c r="Q13">
        <v>245.83</v>
      </c>
      <c r="R13">
        <v>245.83</v>
      </c>
      <c r="S13">
        <v>245.83</v>
      </c>
      <c r="T13">
        <v>245.83</v>
      </c>
      <c r="U13">
        <v>245.83</v>
      </c>
      <c r="V13">
        <v>245.83</v>
      </c>
      <c r="W13">
        <v>245.83</v>
      </c>
      <c r="X13">
        <v>245.83</v>
      </c>
      <c r="Y13">
        <v>245.83</v>
      </c>
      <c r="Z13">
        <v>245.83</v>
      </c>
      <c r="AA13">
        <v>245.83</v>
      </c>
      <c r="AB13">
        <v>245.83</v>
      </c>
      <c r="AC13">
        <v>245.83</v>
      </c>
      <c r="AD13">
        <v>245.83</v>
      </c>
      <c r="AE13">
        <v>245.83</v>
      </c>
    </row>
    <row r="14" spans="1:37" x14ac:dyDescent="0.3">
      <c r="A14" s="12"/>
      <c r="B14" s="8" t="s">
        <v>11</v>
      </c>
      <c r="C14" s="16">
        <v>5</v>
      </c>
      <c r="D14">
        <v>20</v>
      </c>
      <c r="E14">
        <v>33</v>
      </c>
      <c r="F14">
        <v>60</v>
      </c>
      <c r="G14">
        <v>62</v>
      </c>
      <c r="H14">
        <v>85</v>
      </c>
      <c r="I14">
        <v>3</v>
      </c>
      <c r="J14">
        <v>13</v>
      </c>
      <c r="K14">
        <v>35</v>
      </c>
      <c r="L14">
        <v>44</v>
      </c>
      <c r="M14">
        <v>50</v>
      </c>
      <c r="N14">
        <v>76</v>
      </c>
      <c r="O14">
        <v>82</v>
      </c>
      <c r="P14">
        <v>85</v>
      </c>
      <c r="Q14">
        <v>88</v>
      </c>
      <c r="R14">
        <v>87</v>
      </c>
      <c r="S14">
        <v>85</v>
      </c>
      <c r="T14">
        <v>85</v>
      </c>
      <c r="U14">
        <v>85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-C6*SIN(RADIANS(C9+5.25))*C13/1000</f>
        <v>-4.9109379769919088E-2</v>
      </c>
      <c r="D16" s="16">
        <f t="shared" ref="D16:AE16" si="0">-D6*SIN(RADIANS(D9+5.25))*D13/1000</f>
        <v>-0.83403244093913598</v>
      </c>
      <c r="E16" s="16">
        <f t="shared" si="0"/>
        <v>-1.7200073984477242</v>
      </c>
      <c r="F16" s="16">
        <f t="shared" si="0"/>
        <v>-2.900103689581238</v>
      </c>
      <c r="G16" s="16">
        <f t="shared" si="0"/>
        <v>-4.5474653742290858</v>
      </c>
      <c r="H16" s="16">
        <f t="shared" si="0"/>
        <v>-18.319240363209158</v>
      </c>
      <c r="I16" s="16">
        <f t="shared" si="0"/>
        <v>-0.14749659592534689</v>
      </c>
      <c r="J16" s="16">
        <f t="shared" si="0"/>
        <v>-0.77675624770615737</v>
      </c>
      <c r="K16" s="16">
        <f t="shared" si="0"/>
        <v>-1.8437074490668364</v>
      </c>
      <c r="L16" s="16">
        <f t="shared" si="0"/>
        <v>-2.9228908759206247</v>
      </c>
      <c r="M16" s="16">
        <f t="shared" si="0"/>
        <v>-5.0559532620861303</v>
      </c>
      <c r="N16" s="16">
        <f t="shared" si="0"/>
        <v>-7.5053908133297975</v>
      </c>
      <c r="O16" s="16">
        <f t="shared" si="0"/>
        <v>-10.014296277159817</v>
      </c>
      <c r="P16" s="16">
        <f t="shared" si="0"/>
        <v>-12.137120802638771</v>
      </c>
      <c r="Q16" s="16">
        <f t="shared" si="0"/>
        <v>-16.328074980556799</v>
      </c>
      <c r="R16" s="16">
        <f t="shared" si="0"/>
        <v>-18.009994411252876</v>
      </c>
      <c r="S16" s="16">
        <f t="shared" si="0"/>
        <v>-19.562355739823911</v>
      </c>
      <c r="T16" s="16">
        <f t="shared" si="0"/>
        <v>-20.200690671447745</v>
      </c>
      <c r="U16" s="16">
        <f t="shared" si="0"/>
        <v>-19.951096115672847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1" x14ac:dyDescent="0.3">
      <c r="A17" s="3"/>
      <c r="B17" s="3"/>
      <c r="H17" t="s">
        <v>82</v>
      </c>
      <c r="N17" s="3"/>
      <c r="O17" s="3"/>
      <c r="Q17" t="s">
        <v>85</v>
      </c>
      <c r="R17" t="s">
        <v>87</v>
      </c>
      <c r="S17" t="s">
        <v>88</v>
      </c>
      <c r="T17" t="s">
        <v>90</v>
      </c>
      <c r="U17" t="s">
        <v>92</v>
      </c>
    </row>
    <row r="18" spans="1:21" x14ac:dyDescent="0.3">
      <c r="A18" s="3"/>
      <c r="H18" t="s">
        <v>84</v>
      </c>
      <c r="S18" t="s">
        <v>89</v>
      </c>
      <c r="T18" t="s">
        <v>91</v>
      </c>
    </row>
    <row r="19" spans="1:21" x14ac:dyDescent="0.3">
      <c r="A19" s="3"/>
      <c r="B19" s="3"/>
    </row>
    <row r="20" spans="1:21" x14ac:dyDescent="0.3">
      <c r="A20" s="3"/>
      <c r="B20" s="3"/>
    </row>
    <row r="21" spans="1:21" x14ac:dyDescent="0.3">
      <c r="A21" s="3"/>
      <c r="B21" s="21" t="s">
        <v>52</v>
      </c>
      <c r="M21" t="s">
        <v>101</v>
      </c>
      <c r="N21" t="s">
        <v>103</v>
      </c>
    </row>
    <row r="22" spans="1:21" x14ac:dyDescent="0.3">
      <c r="A22" s="3"/>
      <c r="B22" s="3"/>
      <c r="M22">
        <f>MIN(C10:AZ10)</f>
        <v>336</v>
      </c>
      <c r="N22">
        <f>MAX(C10:AZ10)</f>
        <v>382</v>
      </c>
    </row>
    <row r="23" spans="1:21" x14ac:dyDescent="0.3">
      <c r="A23" s="3"/>
      <c r="B23" s="3"/>
    </row>
    <row r="24" spans="1:21" x14ac:dyDescent="0.3">
      <c r="A24" s="3"/>
      <c r="B24" s="3"/>
      <c r="M24" t="s">
        <v>93</v>
      </c>
    </row>
    <row r="25" spans="1:21" x14ac:dyDescent="0.3">
      <c r="A25" s="3"/>
      <c r="B25" s="3"/>
      <c r="M25">
        <f>AVERAGE(C8:U8)</f>
        <v>623.42526315789462</v>
      </c>
    </row>
    <row r="26" spans="1:21" x14ac:dyDescent="0.3">
      <c r="A26" s="3"/>
      <c r="B26" s="3"/>
    </row>
    <row r="27" spans="1:21" x14ac:dyDescent="0.3">
      <c r="A27" s="3"/>
      <c r="B27" s="3"/>
    </row>
    <row r="28" spans="1:21" x14ac:dyDescent="0.3">
      <c r="A28" s="3"/>
      <c r="B28" s="3"/>
    </row>
    <row r="29" spans="1:21" x14ac:dyDescent="0.3">
      <c r="A29" s="3"/>
      <c r="B29" s="3"/>
    </row>
    <row r="30" spans="1:21" x14ac:dyDescent="0.3">
      <c r="A30" s="3"/>
      <c r="B30" s="3"/>
    </row>
    <row r="31" spans="1:21" x14ac:dyDescent="0.3">
      <c r="A31" s="3"/>
      <c r="B31" s="3"/>
    </row>
    <row r="32" spans="1:21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CAB6-F80F-4BC7-AC78-635542748F6E}">
  <dimension ref="A1:AK36"/>
  <sheetViews>
    <sheetView tabSelected="1" zoomScale="70" zoomScaleNormal="70" workbookViewId="0">
      <selection activeCell="B18" sqref="B18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105</v>
      </c>
      <c r="B1" s="3"/>
    </row>
    <row r="2" spans="1:37" x14ac:dyDescent="0.3">
      <c r="A2" s="3" t="s">
        <v>71</v>
      </c>
      <c r="B2" s="3"/>
      <c r="C2">
        <v>457</v>
      </c>
      <c r="E2" t="s">
        <v>58</v>
      </c>
    </row>
    <row r="3" spans="1:37" x14ac:dyDescent="0.3">
      <c r="A3" s="3" t="s">
        <v>70</v>
      </c>
      <c r="B3" s="3"/>
      <c r="C3">
        <v>387</v>
      </c>
      <c r="D3">
        <f>(C3/C2)</f>
        <v>0.84682713347921224</v>
      </c>
      <c r="E3">
        <f>1-D3</f>
        <v>0.15317286652078776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  <c r="V4" t="s">
        <v>16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3.1</v>
      </c>
      <c r="D6">
        <v>8.6999999999999993</v>
      </c>
      <c r="E6">
        <v>16.7</v>
      </c>
      <c r="F6">
        <v>24.4</v>
      </c>
      <c r="G6">
        <v>33.4</v>
      </c>
      <c r="H6">
        <v>46.3</v>
      </c>
      <c r="I6">
        <v>58.9</v>
      </c>
      <c r="J6">
        <v>64.7</v>
      </c>
      <c r="K6">
        <v>70.900000000000006</v>
      </c>
      <c r="L6">
        <v>75</v>
      </c>
      <c r="M6">
        <v>68.400000000000006</v>
      </c>
      <c r="N6">
        <v>58.6</v>
      </c>
      <c r="O6">
        <v>53.2</v>
      </c>
      <c r="P6">
        <v>41.9</v>
      </c>
      <c r="Q6">
        <v>31</v>
      </c>
      <c r="R6">
        <v>16.2</v>
      </c>
      <c r="S6">
        <v>11</v>
      </c>
      <c r="T6">
        <v>7.3</v>
      </c>
      <c r="U6">
        <v>4.5</v>
      </c>
      <c r="V6">
        <v>75</v>
      </c>
    </row>
    <row r="7" spans="1:37" x14ac:dyDescent="0.3">
      <c r="A7" s="3"/>
      <c r="B7" s="6" t="s">
        <v>2</v>
      </c>
      <c r="C7" s="16">
        <v>-86.5</v>
      </c>
      <c r="D7">
        <v>-78.7</v>
      </c>
      <c r="E7">
        <v>-71</v>
      </c>
      <c r="F7">
        <v>-66</v>
      </c>
      <c r="G7">
        <v>-59.7</v>
      </c>
      <c r="H7">
        <v>-53.6</v>
      </c>
      <c r="I7">
        <v>-45.743000000000002</v>
      </c>
      <c r="J7">
        <v>-40.700000000000003</v>
      </c>
      <c r="K7">
        <v>-33.9</v>
      </c>
      <c r="L7">
        <v>-25.28</v>
      </c>
      <c r="M7">
        <v>-32</v>
      </c>
      <c r="N7">
        <v>-40.5</v>
      </c>
      <c r="O7">
        <v>-44.3</v>
      </c>
      <c r="P7">
        <v>-50.7</v>
      </c>
      <c r="Q7">
        <v>-56.5</v>
      </c>
      <c r="R7">
        <v>-66.5</v>
      </c>
      <c r="S7">
        <v>-71.900000000000006</v>
      </c>
      <c r="T7">
        <v>-76.257999999999996</v>
      </c>
      <c r="U7">
        <v>-80.900000000000006</v>
      </c>
      <c r="V7">
        <v>-21.331</v>
      </c>
    </row>
    <row r="8" spans="1:37" x14ac:dyDescent="0.3">
      <c r="A8" s="3"/>
      <c r="B8" s="4" t="s">
        <v>47</v>
      </c>
      <c r="C8" s="16">
        <v>613.75</v>
      </c>
      <c r="D8">
        <v>613</v>
      </c>
      <c r="E8">
        <v>613</v>
      </c>
      <c r="F8">
        <v>616</v>
      </c>
      <c r="G8">
        <v>616.70000000000005</v>
      </c>
      <c r="H8">
        <v>616</v>
      </c>
      <c r="I8">
        <v>614.5</v>
      </c>
      <c r="J8">
        <v>613</v>
      </c>
      <c r="K8">
        <v>613.76400000000001</v>
      </c>
      <c r="L8">
        <v>613</v>
      </c>
      <c r="M8">
        <v>613</v>
      </c>
      <c r="N8">
        <v>615</v>
      </c>
      <c r="O8">
        <v>615</v>
      </c>
      <c r="P8">
        <v>615</v>
      </c>
      <c r="Q8">
        <v>613.70000000000005</v>
      </c>
      <c r="R8">
        <v>613</v>
      </c>
      <c r="S8">
        <v>615.20000000000005</v>
      </c>
      <c r="T8">
        <v>614</v>
      </c>
      <c r="U8">
        <v>613</v>
      </c>
      <c r="V8">
        <v>615.20000000000005</v>
      </c>
      <c r="W8">
        <v>613</v>
      </c>
      <c r="X8">
        <v>613</v>
      </c>
      <c r="Y8">
        <v>613</v>
      </c>
      <c r="Z8">
        <v>613</v>
      </c>
      <c r="AA8">
        <v>613</v>
      </c>
      <c r="AB8">
        <v>613</v>
      </c>
      <c r="AC8">
        <v>613</v>
      </c>
    </row>
    <row r="9" spans="1:37" x14ac:dyDescent="0.3">
      <c r="A9" s="11" t="s">
        <v>7</v>
      </c>
      <c r="B9" s="7" t="s">
        <v>34</v>
      </c>
      <c r="C9" s="15">
        <v>85.5</v>
      </c>
      <c r="D9" s="1">
        <v>87.5</v>
      </c>
      <c r="E9" s="1">
        <v>88</v>
      </c>
      <c r="F9" s="1">
        <v>87.5</v>
      </c>
      <c r="G9" s="1">
        <v>90</v>
      </c>
      <c r="H9" s="1">
        <v>89</v>
      </c>
      <c r="I9" s="1">
        <v>90</v>
      </c>
      <c r="J9" s="1">
        <v>89</v>
      </c>
      <c r="K9" s="1">
        <v>88</v>
      </c>
      <c r="L9" s="1">
        <v>88.5</v>
      </c>
      <c r="M9" s="1">
        <v>90</v>
      </c>
      <c r="N9" s="1">
        <v>90</v>
      </c>
      <c r="O9" s="1">
        <v>88</v>
      </c>
      <c r="P9" s="1">
        <v>87.5</v>
      </c>
      <c r="Q9" s="1">
        <v>90</v>
      </c>
      <c r="R9" s="1">
        <v>89</v>
      </c>
      <c r="S9" s="1">
        <v>90</v>
      </c>
      <c r="T9" s="1">
        <v>90</v>
      </c>
      <c r="U9" s="1">
        <v>90</v>
      </c>
      <c r="V9" s="1">
        <v>93</v>
      </c>
      <c r="W9" s="1">
        <v>87.5</v>
      </c>
      <c r="X9" s="1">
        <v>87.5</v>
      </c>
      <c r="Y9" s="1">
        <v>87.5</v>
      </c>
      <c r="Z9" s="1">
        <v>87.5</v>
      </c>
      <c r="AA9" s="1">
        <v>87.5</v>
      </c>
      <c r="AB9" s="1">
        <v>87.5</v>
      </c>
      <c r="AC9" s="1">
        <v>87.5</v>
      </c>
      <c r="AD9" s="1">
        <v>87.5</v>
      </c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387</v>
      </c>
      <c r="D10">
        <v>391</v>
      </c>
      <c r="E10">
        <v>395</v>
      </c>
      <c r="F10">
        <v>400</v>
      </c>
      <c r="G10">
        <v>405</v>
      </c>
      <c r="H10">
        <v>412</v>
      </c>
      <c r="I10">
        <v>422</v>
      </c>
      <c r="J10">
        <v>425</v>
      </c>
      <c r="K10">
        <v>430</v>
      </c>
      <c r="L10">
        <v>435</v>
      </c>
      <c r="M10">
        <v>431</v>
      </c>
      <c r="N10">
        <v>423</v>
      </c>
      <c r="O10">
        <v>418</v>
      </c>
      <c r="P10">
        <v>411</v>
      </c>
      <c r="Q10">
        <v>405</v>
      </c>
      <c r="R10">
        <v>395</v>
      </c>
      <c r="S10">
        <v>390</v>
      </c>
      <c r="T10">
        <v>387</v>
      </c>
      <c r="U10">
        <v>385</v>
      </c>
      <c r="V10">
        <v>435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42</v>
      </c>
      <c r="D14">
        <v>53</v>
      </c>
      <c r="E14">
        <v>66</v>
      </c>
      <c r="F14">
        <v>74</v>
      </c>
      <c r="G14">
        <v>80</v>
      </c>
      <c r="H14">
        <v>80</v>
      </c>
      <c r="I14">
        <v>85</v>
      </c>
      <c r="J14">
        <v>85</v>
      </c>
      <c r="K14">
        <v>85</v>
      </c>
      <c r="L14">
        <v>80</v>
      </c>
      <c r="M14">
        <v>82</v>
      </c>
      <c r="N14">
        <v>83</v>
      </c>
      <c r="O14">
        <v>85</v>
      </c>
      <c r="P14">
        <v>85</v>
      </c>
      <c r="Q14">
        <v>80</v>
      </c>
      <c r="R14">
        <v>70</v>
      </c>
      <c r="S14">
        <v>65</v>
      </c>
      <c r="T14">
        <v>55</v>
      </c>
      <c r="U14">
        <v>40</v>
      </c>
      <c r="V14">
        <v>75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-C6*SIN(RADIANS(C9+5.25))*C13/1000</f>
        <v>-0.77403468088936644</v>
      </c>
      <c r="D16" s="16">
        <f t="shared" ref="D16:AE16" si="0">-D6*SIN(RADIANS(D9+5.25))*D13/1000</f>
        <v>-2.1699751461256667</v>
      </c>
      <c r="E16" s="16">
        <f t="shared" si="0"/>
        <v>-4.1634500137164219</v>
      </c>
      <c r="F16" s="16">
        <f t="shared" si="0"/>
        <v>-6.0859073063754314</v>
      </c>
      <c r="G16" s="16">
        <f t="shared" si="0"/>
        <v>-8.3053257787199364</v>
      </c>
      <c r="H16" s="16">
        <f t="shared" si="0"/>
        <v>-11.529780814291216</v>
      </c>
      <c r="I16" s="16">
        <f t="shared" si="0"/>
        <v>-14.646218214568991</v>
      </c>
      <c r="J16" s="16">
        <f t="shared" si="0"/>
        <v>-16.11181033876116</v>
      </c>
      <c r="K16" s="16">
        <f t="shared" si="0"/>
        <v>-17.67596442949068</v>
      </c>
      <c r="L16" s="16">
        <f t="shared" si="0"/>
        <v>-18.688151379143374</v>
      </c>
      <c r="M16" s="16">
        <f t="shared" si="0"/>
        <v>-17.008511474983347</v>
      </c>
      <c r="N16" s="16">
        <f t="shared" si="0"/>
        <v>-14.571619480029591</v>
      </c>
      <c r="O16" s="16">
        <f t="shared" si="0"/>
        <v>-13.263206031719381</v>
      </c>
      <c r="P16" s="16">
        <f t="shared" si="0"/>
        <v>-10.450799841685679</v>
      </c>
      <c r="Q16" s="16">
        <f t="shared" si="0"/>
        <v>-7.7085359024047326</v>
      </c>
      <c r="R16" s="16">
        <f t="shared" si="0"/>
        <v>-4.0341781682833195</v>
      </c>
      <c r="S16" s="16">
        <f t="shared" si="0"/>
        <v>-2.735286933111357</v>
      </c>
      <c r="T16" s="16">
        <f t="shared" si="0"/>
        <v>-1.815235873792082</v>
      </c>
      <c r="U16" s="16">
        <f t="shared" si="0"/>
        <v>-1.1189810180910094</v>
      </c>
      <c r="V16" s="16">
        <f t="shared" si="0"/>
        <v>-18.534438585205493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2" x14ac:dyDescent="0.3">
      <c r="A17" s="3"/>
      <c r="B17" s="3"/>
      <c r="N17" s="3"/>
      <c r="O17" s="3"/>
      <c r="V17" t="s">
        <v>107</v>
      </c>
    </row>
    <row r="18" spans="1:22" x14ac:dyDescent="0.3">
      <c r="A18" s="3"/>
      <c r="V18" t="s">
        <v>106</v>
      </c>
    </row>
    <row r="19" spans="1:22" x14ac:dyDescent="0.3">
      <c r="A19" s="3"/>
      <c r="B19" s="3"/>
      <c r="V19">
        <f>462/C2</f>
        <v>1.0109409190371992</v>
      </c>
    </row>
    <row r="20" spans="1:22" x14ac:dyDescent="0.3">
      <c r="A20" s="3"/>
      <c r="B20" s="3"/>
    </row>
    <row r="21" spans="1:22" x14ac:dyDescent="0.3">
      <c r="A21" s="3"/>
      <c r="B21" s="21" t="s">
        <v>52</v>
      </c>
      <c r="M21" t="s">
        <v>101</v>
      </c>
      <c r="N21" t="s">
        <v>103</v>
      </c>
    </row>
    <row r="22" spans="1:22" x14ac:dyDescent="0.3">
      <c r="A22" s="3"/>
      <c r="B22" s="3"/>
      <c r="M22">
        <f>MIN(C10:AZ10)</f>
        <v>385</v>
      </c>
      <c r="N22">
        <f>MAX(C10:AZ10)</f>
        <v>435</v>
      </c>
    </row>
    <row r="23" spans="1:22" x14ac:dyDescent="0.3">
      <c r="A23" s="3"/>
      <c r="B23" s="3"/>
    </row>
    <row r="24" spans="1:22" x14ac:dyDescent="0.3">
      <c r="A24" s="3"/>
      <c r="B24" s="3"/>
      <c r="M24" t="s">
        <v>93</v>
      </c>
    </row>
    <row r="25" spans="1:22" x14ac:dyDescent="0.3">
      <c r="A25" s="3"/>
      <c r="B25" s="3"/>
      <c r="M25">
        <f>AVERAGE(C8:U8)</f>
        <v>614.19021052631581</v>
      </c>
    </row>
    <row r="26" spans="1:22" x14ac:dyDescent="0.3">
      <c r="A26" s="3"/>
      <c r="B26" s="3"/>
    </row>
    <row r="27" spans="1:22" x14ac:dyDescent="0.3">
      <c r="A27" s="3"/>
      <c r="B27" s="3"/>
    </row>
    <row r="28" spans="1:22" x14ac:dyDescent="0.3">
      <c r="A28" s="3"/>
      <c r="B28" s="3"/>
    </row>
    <row r="29" spans="1:22" x14ac:dyDescent="0.3">
      <c r="A29" s="3"/>
      <c r="B29" s="3"/>
    </row>
    <row r="30" spans="1:22" x14ac:dyDescent="0.3">
      <c r="A30" s="3"/>
      <c r="B30" s="3"/>
    </row>
    <row r="31" spans="1:22" x14ac:dyDescent="0.3">
      <c r="A31" s="3"/>
      <c r="B31" s="3"/>
    </row>
    <row r="32" spans="1:22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509CB-A5F2-43C2-BF18-BBF73E7A3FA0}">
  <dimension ref="A1:AK36"/>
  <sheetViews>
    <sheetView zoomScale="70" zoomScaleNormal="70" workbookViewId="0">
      <selection activeCell="L2" sqref="L2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105</v>
      </c>
      <c r="B1" s="3"/>
      <c r="F1" t="s">
        <v>113</v>
      </c>
    </row>
    <row r="2" spans="1:37" x14ac:dyDescent="0.3">
      <c r="A2" s="3" t="s">
        <v>71</v>
      </c>
      <c r="B2" s="3"/>
      <c r="C2">
        <v>417</v>
      </c>
      <c r="E2" t="s">
        <v>58</v>
      </c>
    </row>
    <row r="3" spans="1:37" x14ac:dyDescent="0.3">
      <c r="A3" s="3" t="s">
        <v>70</v>
      </c>
      <c r="B3" s="3"/>
      <c r="C3">
        <v>341</v>
      </c>
      <c r="D3">
        <f>(C3/C2)</f>
        <v>0.81774580335731417</v>
      </c>
      <c r="E3">
        <f>1-D3</f>
        <v>0.18225419664268583</v>
      </c>
    </row>
    <row r="4" spans="1:37" x14ac:dyDescent="0.3">
      <c r="A4" s="3" t="s">
        <v>35</v>
      </c>
      <c r="B4" s="3"/>
      <c r="C4">
        <v>0</v>
      </c>
      <c r="E4" t="s">
        <v>59</v>
      </c>
      <c r="O4" s="3"/>
      <c r="X4" t="s">
        <v>24</v>
      </c>
      <c r="Y4" t="s">
        <v>26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33">
        <v>2.6</v>
      </c>
      <c r="D6">
        <v>10</v>
      </c>
      <c r="E6">
        <v>19.600000000000001</v>
      </c>
      <c r="F6">
        <v>32</v>
      </c>
      <c r="G6">
        <v>45.9</v>
      </c>
      <c r="H6">
        <v>58.9</v>
      </c>
      <c r="I6">
        <v>69.5</v>
      </c>
      <c r="J6">
        <v>57</v>
      </c>
      <c r="K6">
        <v>36.4</v>
      </c>
      <c r="L6">
        <v>15.3</v>
      </c>
      <c r="M6">
        <v>7.7</v>
      </c>
      <c r="N6" s="30">
        <v>0.8</v>
      </c>
      <c r="O6">
        <v>8.4</v>
      </c>
      <c r="P6">
        <v>12</v>
      </c>
      <c r="Q6">
        <v>15.5</v>
      </c>
      <c r="R6">
        <v>20.8</v>
      </c>
      <c r="S6">
        <v>26.8</v>
      </c>
      <c r="T6">
        <v>36.200000000000003</v>
      </c>
      <c r="U6">
        <v>47.4</v>
      </c>
      <c r="V6">
        <v>55.9</v>
      </c>
      <c r="W6">
        <v>66.5</v>
      </c>
      <c r="X6">
        <v>84</v>
      </c>
      <c r="Y6">
        <v>94</v>
      </c>
      <c r="Z6">
        <v>77.400000000000006</v>
      </c>
    </row>
    <row r="7" spans="1:37" x14ac:dyDescent="0.3">
      <c r="A7" s="3"/>
      <c r="B7" s="6" t="s">
        <v>2</v>
      </c>
      <c r="C7" s="33">
        <v>-109</v>
      </c>
      <c r="D7">
        <v>-103.9</v>
      </c>
      <c r="E7">
        <v>-94.2</v>
      </c>
      <c r="F7">
        <v>-86.3</v>
      </c>
      <c r="G7">
        <v>-79.099999999999994</v>
      </c>
      <c r="H7">
        <v>-73</v>
      </c>
      <c r="I7">
        <v>-68.36</v>
      </c>
      <c r="J7">
        <v>-73.7</v>
      </c>
      <c r="K7">
        <v>-82.72</v>
      </c>
      <c r="L7">
        <v>-96.3</v>
      </c>
      <c r="M7">
        <v>-105.3</v>
      </c>
      <c r="N7" s="30">
        <v>-108.568</v>
      </c>
      <c r="O7">
        <v>-104.9</v>
      </c>
      <c r="P7">
        <v>-100.6</v>
      </c>
      <c r="Q7">
        <v>-97</v>
      </c>
      <c r="R7">
        <v>-92.8</v>
      </c>
      <c r="S7">
        <v>-88.1</v>
      </c>
      <c r="T7">
        <v>-83.4</v>
      </c>
      <c r="U7">
        <v>-78.400000000000006</v>
      </c>
      <c r="V7">
        <v>-74.8</v>
      </c>
      <c r="W7">
        <v>-70.5</v>
      </c>
      <c r="X7">
        <v>-62.256999999999998</v>
      </c>
      <c r="Y7">
        <v>-56</v>
      </c>
      <c r="Z7">
        <v>-63</v>
      </c>
    </row>
    <row r="8" spans="1:37" x14ac:dyDescent="0.3">
      <c r="A8" s="3"/>
      <c r="B8" s="4" t="s">
        <v>47</v>
      </c>
      <c r="C8" s="33">
        <v>613.75</v>
      </c>
      <c r="D8">
        <v>615.20000000000005</v>
      </c>
      <c r="E8">
        <v>617.5</v>
      </c>
      <c r="F8">
        <v>616</v>
      </c>
      <c r="G8">
        <v>616</v>
      </c>
      <c r="H8">
        <v>614.5</v>
      </c>
      <c r="I8">
        <v>614.5</v>
      </c>
      <c r="J8">
        <v>613.70000000000005</v>
      </c>
      <c r="K8">
        <v>617.5</v>
      </c>
      <c r="L8">
        <v>616</v>
      </c>
      <c r="M8">
        <v>615</v>
      </c>
      <c r="N8" s="30">
        <v>614.5</v>
      </c>
      <c r="O8">
        <v>616</v>
      </c>
      <c r="P8">
        <v>617</v>
      </c>
      <c r="Q8">
        <v>616.79999999999995</v>
      </c>
      <c r="R8">
        <v>615.29999999999995</v>
      </c>
      <c r="S8">
        <v>615.20000000000005</v>
      </c>
      <c r="T8">
        <v>614.5</v>
      </c>
      <c r="U8">
        <v>614.5</v>
      </c>
      <c r="V8">
        <v>613.70000000000005</v>
      </c>
      <c r="W8">
        <v>614</v>
      </c>
      <c r="X8">
        <v>613</v>
      </c>
      <c r="Y8">
        <v>616.70000000000005</v>
      </c>
      <c r="Z8">
        <v>617.5</v>
      </c>
    </row>
    <row r="9" spans="1:37" x14ac:dyDescent="0.3">
      <c r="A9" s="11" t="s">
        <v>7</v>
      </c>
      <c r="B9" s="7" t="s">
        <v>34</v>
      </c>
      <c r="C9" s="34">
        <v>86</v>
      </c>
      <c r="D9" s="1">
        <v>85</v>
      </c>
      <c r="E9" s="1">
        <v>87</v>
      </c>
      <c r="F9" s="1">
        <v>86.5</v>
      </c>
      <c r="G9" s="1">
        <v>87</v>
      </c>
      <c r="H9" s="1">
        <v>87.5</v>
      </c>
      <c r="I9" s="1">
        <v>88.5</v>
      </c>
      <c r="J9" s="1">
        <v>89</v>
      </c>
      <c r="K9" s="1">
        <v>88</v>
      </c>
      <c r="L9" s="1">
        <v>88</v>
      </c>
      <c r="M9" s="1">
        <v>86</v>
      </c>
      <c r="N9" s="31">
        <v>88</v>
      </c>
      <c r="O9" s="1">
        <v>84</v>
      </c>
      <c r="P9" s="1">
        <v>85</v>
      </c>
      <c r="Q9" s="1">
        <v>85</v>
      </c>
      <c r="R9" s="1">
        <v>85</v>
      </c>
      <c r="S9" s="1">
        <v>86</v>
      </c>
      <c r="T9" s="1">
        <v>86</v>
      </c>
      <c r="U9" s="1">
        <v>88</v>
      </c>
      <c r="V9" s="1">
        <v>86</v>
      </c>
      <c r="W9" s="1">
        <v>88</v>
      </c>
      <c r="X9" s="1">
        <v>88.5</v>
      </c>
      <c r="Y9" s="1">
        <v>89</v>
      </c>
      <c r="Z9" s="1">
        <v>89</v>
      </c>
      <c r="AA9" s="1">
        <v>87.5</v>
      </c>
      <c r="AB9" s="1">
        <v>87.5</v>
      </c>
      <c r="AC9" s="1">
        <v>87.5</v>
      </c>
      <c r="AD9" s="1">
        <v>87.5</v>
      </c>
      <c r="AE9" s="1">
        <v>87.5</v>
      </c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33">
        <v>350</v>
      </c>
      <c r="D10">
        <v>351</v>
      </c>
      <c r="E10">
        <v>355</v>
      </c>
      <c r="F10">
        <v>360</v>
      </c>
      <c r="G10">
        <v>365</v>
      </c>
      <c r="H10">
        <v>371</v>
      </c>
      <c r="I10">
        <v>376</v>
      </c>
      <c r="J10">
        <v>370</v>
      </c>
      <c r="K10">
        <v>361</v>
      </c>
      <c r="L10">
        <v>352</v>
      </c>
      <c r="M10">
        <v>350</v>
      </c>
      <c r="N10" s="30">
        <v>350</v>
      </c>
      <c r="O10">
        <v>348</v>
      </c>
      <c r="P10">
        <v>350</v>
      </c>
      <c r="Q10">
        <v>352</v>
      </c>
      <c r="R10">
        <v>355</v>
      </c>
      <c r="S10">
        <v>358</v>
      </c>
      <c r="T10">
        <v>360</v>
      </c>
      <c r="U10">
        <v>365</v>
      </c>
      <c r="V10">
        <v>368</v>
      </c>
      <c r="W10">
        <v>374</v>
      </c>
      <c r="X10">
        <v>381</v>
      </c>
      <c r="Y10">
        <v>386</v>
      </c>
      <c r="Z10">
        <v>379</v>
      </c>
    </row>
    <row r="11" spans="1:37" x14ac:dyDescent="0.3">
      <c r="A11" s="11" t="s">
        <v>8</v>
      </c>
      <c r="B11" s="17" t="s">
        <v>9</v>
      </c>
      <c r="C11" s="34"/>
      <c r="D11" s="1"/>
      <c r="E11" s="1"/>
      <c r="F11" s="1" t="s">
        <v>108</v>
      </c>
      <c r="G11" s="1"/>
      <c r="H11" s="1"/>
      <c r="I11" s="1"/>
      <c r="J11" s="1"/>
      <c r="K11" s="1"/>
      <c r="L11" s="1"/>
      <c r="M11" s="1"/>
      <c r="N11" s="3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33"/>
      <c r="N12" s="30"/>
    </row>
    <row r="13" spans="1:37" x14ac:dyDescent="0.3">
      <c r="A13" s="12"/>
      <c r="B13" s="8" t="s">
        <v>10</v>
      </c>
      <c r="C13" s="30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 s="30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33">
        <v>10</v>
      </c>
      <c r="D14">
        <v>25</v>
      </c>
      <c r="E14">
        <v>35</v>
      </c>
      <c r="F14">
        <v>65</v>
      </c>
      <c r="G14">
        <v>65</v>
      </c>
      <c r="H14">
        <v>78</v>
      </c>
      <c r="I14">
        <v>80</v>
      </c>
      <c r="J14">
        <v>75</v>
      </c>
      <c r="K14">
        <v>67</v>
      </c>
      <c r="L14">
        <v>40</v>
      </c>
      <c r="M14">
        <v>21</v>
      </c>
      <c r="N14" s="30">
        <v>7</v>
      </c>
      <c r="O14">
        <v>25</v>
      </c>
      <c r="P14">
        <v>34</v>
      </c>
      <c r="Q14">
        <v>45</v>
      </c>
      <c r="R14">
        <v>52</v>
      </c>
      <c r="S14">
        <v>57</v>
      </c>
      <c r="T14">
        <v>65</v>
      </c>
      <c r="U14">
        <v>70</v>
      </c>
      <c r="V14">
        <v>69</v>
      </c>
      <c r="W14">
        <v>83</v>
      </c>
      <c r="X14">
        <v>83</v>
      </c>
      <c r="Y14">
        <v>98</v>
      </c>
      <c r="Z14">
        <v>94</v>
      </c>
    </row>
    <row r="15" spans="1:37" x14ac:dyDescent="0.3">
      <c r="A15" s="13"/>
      <c r="B15" s="19" t="s">
        <v>4</v>
      </c>
      <c r="C15" s="35"/>
      <c r="D15" s="2"/>
      <c r="E15" s="2"/>
      <c r="F15" s="2"/>
      <c r="G15" s="2"/>
      <c r="H15" s="2"/>
      <c r="I15" s="2"/>
      <c r="J15" s="2"/>
      <c r="K15" s="2"/>
      <c r="L15" s="2"/>
      <c r="M15" s="2"/>
      <c r="N15" s="3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33">
        <f>-C6*SIN(RADIANS(C9+5.25))*C13/1000</f>
        <v>-0.64909149703352276</v>
      </c>
      <c r="D16" s="16">
        <f t="shared" ref="D16:AE16" si="0">-D6*SIN(RADIANS(D9+5.25))*D13/1000</f>
        <v>-2.4970762294077464</v>
      </c>
      <c r="E16" s="16">
        <f t="shared" si="0"/>
        <v>-4.8905426597375499</v>
      </c>
      <c r="F16" s="16">
        <f t="shared" si="0"/>
        <v>-7.9869930549707391</v>
      </c>
      <c r="G16" s="16">
        <f t="shared" si="0"/>
        <v>-11.452852453160894</v>
      </c>
      <c r="H16" s="16">
        <f t="shared" si="0"/>
        <v>-14.69098116170135</v>
      </c>
      <c r="I16" s="16">
        <f t="shared" si="0"/>
        <v>-17.317686944672865</v>
      </c>
      <c r="J16" s="16">
        <f t="shared" si="0"/>
        <v>-14.194330592107978</v>
      </c>
      <c r="K16" s="16">
        <f t="shared" si="0"/>
        <v>-9.0748251795974699</v>
      </c>
      <c r="L16" s="16">
        <f t="shared" si="0"/>
        <v>-3.8144182760395964</v>
      </c>
      <c r="M16" s="16">
        <f t="shared" si="0"/>
        <v>-1.9223094335223556</v>
      </c>
      <c r="N16" s="33">
        <f t="shared" si="0"/>
        <v>-0.19944670724390048</v>
      </c>
      <c r="O16" s="16">
        <f t="shared" si="0"/>
        <v>-2.0973842966034444</v>
      </c>
      <c r="P16" s="16">
        <f t="shared" si="0"/>
        <v>-2.9964914752892953</v>
      </c>
      <c r="Q16" s="16">
        <f t="shared" si="0"/>
        <v>-3.8704681555820066</v>
      </c>
      <c r="R16" s="16">
        <f t="shared" si="0"/>
        <v>-5.1939185571681117</v>
      </c>
      <c r="S16" s="16">
        <f t="shared" si="0"/>
        <v>-6.6906354309609268</v>
      </c>
      <c r="T16" s="16">
        <f t="shared" si="0"/>
        <v>-9.0373508433128933</v>
      </c>
      <c r="U16" s="16">
        <f t="shared" si="0"/>
        <v>-11.8172174042011</v>
      </c>
      <c r="V16" s="16">
        <f t="shared" si="0"/>
        <v>-13.955467186220737</v>
      </c>
      <c r="W16" s="16">
        <f t="shared" si="0"/>
        <v>-16.579007539649229</v>
      </c>
      <c r="X16" s="16">
        <f t="shared" si="0"/>
        <v>-20.930729544640581</v>
      </c>
      <c r="Y16" s="16">
        <f t="shared" si="0"/>
        <v>-23.408194309792101</v>
      </c>
      <c r="Z16" s="16">
        <f t="shared" si="0"/>
        <v>-19.274406804020305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5" x14ac:dyDescent="0.3">
      <c r="A17" s="3"/>
      <c r="B17" s="3"/>
      <c r="N17" s="3"/>
      <c r="O17" s="3"/>
      <c r="X17" t="s">
        <v>115</v>
      </c>
      <c r="Y17">
        <v>37.799999999999997</v>
      </c>
    </row>
    <row r="18" spans="1:25" x14ac:dyDescent="0.3">
      <c r="A18" s="3"/>
      <c r="C18" t="s">
        <v>109</v>
      </c>
      <c r="N18" t="s">
        <v>110</v>
      </c>
      <c r="X18" t="s">
        <v>116</v>
      </c>
      <c r="Y18" t="s">
        <v>117</v>
      </c>
    </row>
    <row r="19" spans="1:25" x14ac:dyDescent="0.3">
      <c r="A19" s="3"/>
      <c r="B19" s="3"/>
      <c r="C19" t="s">
        <v>111</v>
      </c>
      <c r="N19" t="s">
        <v>112</v>
      </c>
    </row>
    <row r="20" spans="1:25" x14ac:dyDescent="0.3">
      <c r="A20" s="3"/>
      <c r="B20" s="3"/>
    </row>
    <row r="21" spans="1:25" x14ac:dyDescent="0.3">
      <c r="A21" s="3"/>
      <c r="B21" s="21" t="s">
        <v>52</v>
      </c>
      <c r="M21" t="s">
        <v>101</v>
      </c>
      <c r="N21" t="s">
        <v>103</v>
      </c>
    </row>
    <row r="22" spans="1:25" x14ac:dyDescent="0.3">
      <c r="A22" s="3"/>
      <c r="B22" s="3"/>
      <c r="M22">
        <f>MIN(C10:AZ10)</f>
        <v>348</v>
      </c>
      <c r="N22">
        <f>MAX(C10:AZ10)</f>
        <v>386</v>
      </c>
    </row>
    <row r="23" spans="1:25" x14ac:dyDescent="0.3">
      <c r="A23" s="3"/>
      <c r="B23" s="3"/>
    </row>
    <row r="24" spans="1:25" x14ac:dyDescent="0.3">
      <c r="A24" s="3"/>
      <c r="B24" s="3"/>
      <c r="M24" t="s">
        <v>93</v>
      </c>
    </row>
    <row r="25" spans="1:25" x14ac:dyDescent="0.3">
      <c r="A25" s="3"/>
      <c r="B25" s="3"/>
      <c r="M25">
        <f>AVERAGE(C8:U8)</f>
        <v>615.44473684210516</v>
      </c>
    </row>
    <row r="26" spans="1:25" x14ac:dyDescent="0.3">
      <c r="A26" s="3"/>
      <c r="B26" s="3"/>
    </row>
    <row r="27" spans="1:25" x14ac:dyDescent="0.3">
      <c r="A27" s="3"/>
      <c r="B27" s="3"/>
    </row>
    <row r="28" spans="1:25" x14ac:dyDescent="0.3">
      <c r="A28" s="3"/>
      <c r="B28" s="3"/>
      <c r="M28" t="s">
        <v>114</v>
      </c>
    </row>
    <row r="29" spans="1:25" x14ac:dyDescent="0.3">
      <c r="A29" s="3"/>
      <c r="B29" s="3"/>
    </row>
    <row r="30" spans="1:25" x14ac:dyDescent="0.3">
      <c r="A30" s="3"/>
      <c r="B30" s="3"/>
    </row>
    <row r="31" spans="1:25" x14ac:dyDescent="0.3">
      <c r="A31" s="3"/>
      <c r="B31" s="3"/>
    </row>
    <row r="32" spans="1:2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ExtTest10mm_13</vt:lpstr>
      <vt:lpstr>FlxTest10mm_1</vt:lpstr>
      <vt:lpstr>FlxTest10mm_2</vt:lpstr>
      <vt:lpstr>FlxTest10mm_3</vt:lpstr>
      <vt:lpstr>FlxTest10mm_4</vt:lpstr>
      <vt:lpstr>FlxTest10mm_5</vt:lpstr>
      <vt:lpstr>FlxTest10mm_6</vt:lpstr>
      <vt:lpstr>FlxTest10mm_7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2026-08-16T10:20:02Z</dcterms:modified>
</cp:coreProperties>
</file>