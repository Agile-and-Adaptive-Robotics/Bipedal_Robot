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n\Documents\GitHub\Bipedal_Robot\Testing_Data\2026_06_Festo\"/>
    </mc:Choice>
  </mc:AlternateContent>
  <xr:revisionPtr revIDLastSave="0" documentId="13_ncr:1_{8F416346-DDA5-482A-BBD3-70514486EDB6}" xr6:coauthVersionLast="47" xr6:coauthVersionMax="47" xr10:uidLastSave="{00000000-0000-0000-0000-000000000000}"/>
  <bookViews>
    <workbookView xWindow="11910" yWindow="-16320" windowWidth="29040" windowHeight="15720" firstSheet="10" activeTab="15" xr2:uid="{FDAF32CB-2BA8-47E2-927E-3C1E6066A0C3}"/>
  </bookViews>
  <sheets>
    <sheet name="ExtTest10mm_1" sheetId="9" r:id="rId1"/>
    <sheet name="ExtTest10mm_2" sheetId="10" r:id="rId2"/>
    <sheet name="ExtTest10mm_3" sheetId="11" r:id="rId3"/>
    <sheet name="ExtTest10mm_4" sheetId="12" r:id="rId4"/>
    <sheet name="ExtTest10mm_5" sheetId="13" r:id="rId5"/>
    <sheet name="ExtTest10mm_6" sheetId="14" r:id="rId6"/>
    <sheet name="ExtTest10mm_7" sheetId="16" r:id="rId7"/>
    <sheet name="ExtTest10mm_8" sheetId="18" r:id="rId8"/>
    <sheet name="ExtTest10mm_9" sheetId="19" r:id="rId9"/>
    <sheet name="ExtTest10mm_10" sheetId="20" r:id="rId10"/>
    <sheet name="ExtTest10mm_11" sheetId="21" r:id="rId11"/>
    <sheet name="ExtTest10mm_12" sheetId="22" r:id="rId12"/>
    <sheet name="FlxTest10mm_1" sheetId="7" r:id="rId13"/>
    <sheet name="FlxTest10mm_2" sheetId="8" r:id="rId14"/>
    <sheet name="FlxTest10mm_3" sheetId="15" r:id="rId15"/>
    <sheet name="FlxTest10mm_4" sheetId="23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23" l="1"/>
  <c r="D16" i="23"/>
  <c r="E16" i="23"/>
  <c r="F16" i="23"/>
  <c r="G16" i="23"/>
  <c r="H16" i="23"/>
  <c r="I16" i="23"/>
  <c r="J16" i="23"/>
  <c r="C16" i="23"/>
  <c r="L16" i="23"/>
  <c r="M16" i="23"/>
  <c r="N16" i="23"/>
  <c r="O16" i="23"/>
  <c r="P16" i="23"/>
  <c r="Q16" i="23"/>
  <c r="R16" i="23"/>
  <c r="S16" i="23"/>
  <c r="T16" i="23"/>
  <c r="U16" i="23"/>
  <c r="V16" i="23"/>
  <c r="W16" i="23"/>
  <c r="X16" i="23"/>
  <c r="Y16" i="23"/>
  <c r="Z16" i="23"/>
  <c r="AA16" i="23"/>
  <c r="AB16" i="23"/>
  <c r="AC16" i="23"/>
  <c r="AD16" i="23"/>
  <c r="AE16" i="23"/>
  <c r="D3" i="23"/>
  <c r="E3" i="23" s="1"/>
  <c r="D3" i="22"/>
  <c r="E3" i="22" s="1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E16" i="21"/>
  <c r="D16" i="21"/>
  <c r="C16" i="21"/>
  <c r="D3" i="21"/>
  <c r="E3" i="21" s="1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U16" i="16"/>
  <c r="V16" i="16"/>
  <c r="W16" i="16"/>
  <c r="C16" i="16"/>
  <c r="D16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C16" i="18"/>
  <c r="D16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C16" i="19"/>
  <c r="D16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Q16" i="20"/>
  <c r="R16" i="20"/>
  <c r="S16" i="20"/>
  <c r="T16" i="20"/>
  <c r="U16" i="20"/>
  <c r="V16" i="20"/>
  <c r="W16" i="20"/>
  <c r="X16" i="20"/>
  <c r="Y16" i="20"/>
  <c r="Z16" i="20"/>
  <c r="AA16" i="20"/>
  <c r="AB16" i="20"/>
  <c r="AC16" i="20"/>
  <c r="AD16" i="20"/>
  <c r="AE16" i="20"/>
  <c r="C16" i="20"/>
  <c r="D3" i="20"/>
  <c r="E3" i="20" s="1"/>
  <c r="E3" i="19"/>
  <c r="D3" i="19"/>
  <c r="E10" i="16"/>
  <c r="AE16" i="16"/>
  <c r="AD16" i="16"/>
  <c r="AC16" i="16"/>
  <c r="AB16" i="16"/>
  <c r="AA16" i="16"/>
  <c r="C15" i="9"/>
  <c r="C18" i="9"/>
  <c r="J18" i="15"/>
  <c r="C3" i="11" l="1"/>
  <c r="D4" i="11"/>
  <c r="D4" i="10"/>
  <c r="D4" i="12"/>
  <c r="R29" i="15" l="1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R5" i="15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AH5" i="15" s="1"/>
  <c r="AI5" i="15" s="1"/>
  <c r="Q5" i="15"/>
  <c r="C3" i="15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G15" i="14"/>
  <c r="H15" i="14"/>
  <c r="I15" i="14"/>
  <c r="J15" i="14"/>
  <c r="K15" i="14"/>
  <c r="L15" i="14"/>
  <c r="M15" i="14"/>
  <c r="N15" i="14"/>
  <c r="O15" i="14"/>
  <c r="P15" i="14"/>
  <c r="Q15" i="14"/>
  <c r="D15" i="14"/>
  <c r="E15" i="14"/>
  <c r="F15" i="14"/>
  <c r="C15" i="14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D15" i="12"/>
  <c r="C15" i="8"/>
  <c r="R29" i="8"/>
  <c r="U23" i="9"/>
  <c r="V23" i="9"/>
  <c r="W23" i="9"/>
  <c r="X23" i="9"/>
  <c r="T23" i="9"/>
  <c r="T27" i="9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C15" i="12"/>
  <c r="Q5" i="12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C3" i="12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Q5" i="1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X24" i="9" l="1"/>
  <c r="U24" i="9"/>
  <c r="V24" i="9"/>
  <c r="T24" i="9"/>
  <c r="W24" i="9"/>
  <c r="D18" i="9"/>
  <c r="E18" i="9"/>
  <c r="F18" i="9"/>
  <c r="G18" i="9"/>
  <c r="H18" i="9"/>
  <c r="I18" i="9"/>
  <c r="J18" i="9"/>
  <c r="K18" i="9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Q5" i="10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AG5" i="10" s="1"/>
  <c r="AH5" i="10" s="1"/>
  <c r="AI5" i="10" s="1"/>
  <c r="C3" i="10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Q5" i="9"/>
  <c r="R5" i="9" s="1"/>
  <c r="S5" i="9" s="1"/>
  <c r="T5" i="9" s="1"/>
  <c r="U5" i="9" s="1"/>
  <c r="V5" i="9" s="1"/>
  <c r="W5" i="9" s="1"/>
  <c r="X5" i="9" s="1"/>
  <c r="Y5" i="9" s="1"/>
  <c r="Z5" i="9" s="1"/>
  <c r="AA5" i="9" s="1"/>
  <c r="AB5" i="9" s="1"/>
  <c r="AC5" i="9" s="1"/>
  <c r="AD5" i="9" s="1"/>
  <c r="AE5" i="9" s="1"/>
  <c r="AF5" i="9" s="1"/>
  <c r="AG5" i="9" s="1"/>
  <c r="AH5" i="9" s="1"/>
  <c r="AI5" i="9" s="1"/>
  <c r="C3" i="9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5" i="8"/>
  <c r="R5" i="8" s="1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C3" i="8"/>
  <c r="AG15" i="7" l="1"/>
  <c r="AH15" i="7"/>
  <c r="AI15" i="7"/>
  <c r="Z15" i="7"/>
  <c r="AA15" i="7"/>
  <c r="AB15" i="7"/>
  <c r="AC15" i="7"/>
  <c r="AD15" i="7"/>
  <c r="AE15" i="7"/>
  <c r="AF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C15" i="7"/>
  <c r="Q5" i="7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C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tc={31540696-8989-4ECF-9DA4-105271D5E559}</author>
    <author>tc={4ABBB369-E711-4E3D-9229-46727333D172}</author>
  </authors>
  <commentList>
    <comment ref="D3" authorId="0" shapeId="0" xr:uid="{31540696-8989-4ECF-9DA4-105271D5E559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1" shapeId="0" xr:uid="{4ABBB369-E711-4E3D-9229-46727333D172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tc={29300245-EF40-4E4F-8F6D-1266C425EACE}</author>
    <author>tc={00298076-0747-4A6C-9F96-1B56DD480064}</author>
    <author>tc={BDF31CF8-F642-45F3-81CA-9C8FF04449E8}</author>
    <author>tc={C8A435E7-474C-41D6-A569-7731B05DEC1C}</author>
    <author>tc={6E231C95-A9F8-4BE0-A13C-7D1696721C9B}</author>
  </authors>
  <commentList>
    <comment ref="C2" authorId="0" shapeId="0" xr:uid="{29300245-EF40-4E4F-8F6D-1266C425EA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00298076-0747-4A6C-9F96-1B56DD4800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BDF31CF8-F642-45F3-81CA-9C8FF04449E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C8A435E7-474C-41D6-A569-7731B05DEC1C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E231C95-A9F8-4BE0-A13C-7D1696721C9B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tc={7429FFDB-7320-40ED-9095-CADFEE0453D3}</author>
    <author>tc={56BB9B1E-AE6F-4367-98DA-1738BC17BA33}</author>
    <author>tc={181A90AF-6CB1-444A-AC50-05218AF784A8}</author>
    <author>tc={E9CB4941-5049-48DD-9386-0FE986486E00}</author>
    <author>tc={4B24DE55-490A-4648-B1F6-ECBEA4FEDB7F}</author>
  </authors>
  <commentList>
    <comment ref="C2" authorId="0" shapeId="0" xr:uid="{7429FFDB-7320-40ED-9095-CADFEE0453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6BB9B1E-AE6F-4367-98DA-1738BC17BA3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181A90AF-6CB1-444A-AC50-05218AF784A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E9CB4941-5049-48DD-9386-0FE986486E00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4B24DE55-490A-4648-B1F6-ECBEA4FE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tc={F99A6D76-844F-423C-8E72-632020492202}</author>
    <author>tc={57404540-41ED-4CFC-A34A-B0C06D36E435}</author>
    <author>tc={FD23BCFD-5D0D-499D-B1BC-4D31A4174384}</author>
    <author>tc={34C2BEB3-8987-42FD-9240-D19AB0F3395E}</author>
    <author>tc={619279C5-5896-4658-A891-94E7656E0604}</author>
  </authors>
  <commentList>
    <comment ref="C2" authorId="0" shapeId="0" xr:uid="{F99A6D76-844F-423C-8E72-6320204922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7404540-41ED-4CFC-A34A-B0C06D36E4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FD23BCFD-5D0D-499D-B1BC-4D31A4174384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34C2BEB3-8987-42FD-9240-D19AB0F3395E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19279C5-5896-4658-A891-94E7656E060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tc={B3DD3E36-DE23-4526-822F-7544076C12AF}</author>
    <author>tc={44F69930-AA26-4737-9556-6F232E8AC193}</author>
    <author>tc={6E9C7D1B-6D13-4A15-A63C-B49E3DDDDD72}</author>
    <author>tc={A117DFD4-25AF-41A6-9D26-99F7C9197E59}</author>
    <author>tc={70F2E1CB-BEA3-46AD-8012-48E9D04ADA3E}</author>
  </authors>
  <commentList>
    <comment ref="C2" authorId="0" shapeId="0" xr:uid="{B3DD3E36-DE23-4526-822F-7544076C12AF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44F69930-AA26-4737-9556-6F232E8AC1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6E9C7D1B-6D13-4A15-A63C-B49E3DDDDD72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A117DFD4-25AF-41A6-9D26-99F7C9197E59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70F2E1CB-BEA3-46AD-8012-48E9D04ADA3E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sharedStrings.xml><?xml version="1.0" encoding="utf-8"?>
<sst xmlns="http://schemas.openxmlformats.org/spreadsheetml/2006/main" count="354" uniqueCount="82">
  <si>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</si>
  <si>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</si>
  <si>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</si>
  <si>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</si>
  <si>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</si>
  <si>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</si>
  <si>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</si>
  <si>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</si>
  <si>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</si>
  <si>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</si>
  <si>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</si>
  <si>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</si>
  <si>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</si>
  <si>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</si>
  <si>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</si>
  <si>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Flexsor Test 10mm</t>
  </si>
  <si>
    <t>*</t>
  </si>
  <si>
    <t>actual max contraction</t>
  </si>
  <si>
    <t>^ Collected by Jason</t>
  </si>
  <si>
    <t>*Corrected 0 offset -16820</t>
  </si>
  <si>
    <t>corrected?</t>
  </si>
  <si>
    <t>^ Collected by Ben</t>
  </si>
  <si>
    <t>^ Collected by Jason 1-13 &amp; 19-29 , Ben 14-18</t>
  </si>
  <si>
    <t>*BPA barely starts touching screw head again</t>
  </si>
  <si>
    <t>**</t>
  </si>
  <si>
    <t>**Passive tension, uninflated</t>
  </si>
  <si>
    <t>***</t>
  </si>
  <si>
    <t>***bracket broke, failure via material pull out</t>
  </si>
  <si>
    <t>^^Collected by Ben from 18-27</t>
  </si>
  <si>
    <t>Extensor Test 10mm</t>
  </si>
  <si>
    <t>k</t>
  </si>
  <si>
    <t>rel</t>
  </si>
  <si>
    <t xml:space="preserve">kmax </t>
  </si>
  <si>
    <t>ICR (hand)</t>
  </si>
  <si>
    <t>Load cell angle</t>
  </si>
  <si>
    <t>Tendon Length</t>
  </si>
  <si>
    <t>Max contraction length</t>
  </si>
  <si>
    <t>^Collected by Jason M.</t>
  </si>
  <si>
    <t>Ext Test 5</t>
  </si>
  <si>
    <t>*routing point 4 is +20 mm in Z direction</t>
  </si>
  <si>
    <t>22mm</t>
  </si>
  <si>
    <t>*Stiffer bracket installed</t>
  </si>
  <si>
    <t>Force</t>
  </si>
  <si>
    <t>Pressure</t>
  </si>
  <si>
    <t>Festo-10 @ 6 bar, from sheet</t>
  </si>
  <si>
    <t>original</t>
  </si>
  <si>
    <t>^Collected by Ben and Moe</t>
  </si>
  <si>
    <t>Pressure (kPa)</t>
  </si>
  <si>
    <t xml:space="preserve">  </t>
  </si>
  <si>
    <t xml:space="preserve">* pretensioned to 6 N </t>
  </si>
  <si>
    <t>10 N pre tension</t>
  </si>
  <si>
    <t>7n pre T</t>
  </si>
  <si>
    <t>blue color means don't collect</t>
  </si>
  <si>
    <t>*pre of 10.5N</t>
  </si>
  <si>
    <t>*pre of 16.5N</t>
  </si>
  <si>
    <t>*removed 4th idler</t>
  </si>
  <si>
    <t>**tendon about 43 mm under load</t>
  </si>
  <si>
    <t xml:space="preserve">***tendon 45 mm and </t>
  </si>
  <si>
    <t>^Collected by Ben</t>
  </si>
  <si>
    <t>Batch D21</t>
  </si>
  <si>
    <t>Batch E31</t>
  </si>
  <si>
    <t>Ext Test 11</t>
  </si>
  <si>
    <t>Ext Test 10</t>
  </si>
  <si>
    <t>Ext Test 9</t>
  </si>
  <si>
    <t>Ext Test 8</t>
  </si>
  <si>
    <t>Ext Test 7</t>
  </si>
  <si>
    <t>Ext Test 6</t>
  </si>
  <si>
    <t>Encoder magnet fell off and I took measurements by hand</t>
  </si>
  <si>
    <t>^Collected by Moe</t>
  </si>
  <si>
    <t>I found the encoder magnets and recalibrated</t>
  </si>
  <si>
    <t>Max contraction length (mm)</t>
  </si>
  <si>
    <t>Resting muscle length (mm)</t>
  </si>
  <si>
    <t>*start from the second readings</t>
  </si>
  <si>
    <t xml:space="preserve">* preloaded 2.08N </t>
  </si>
  <si>
    <t>*preloaded 3.35N</t>
  </si>
  <si>
    <t>*preloaded 4.56</t>
  </si>
  <si>
    <t>* preloaded 5.8 N</t>
  </si>
  <si>
    <t>*preloaded 9.5N</t>
  </si>
  <si>
    <t>*preloaded 1.5N</t>
  </si>
  <si>
    <t>Flex test 4</t>
  </si>
  <si>
    <t>^Collected by Moe &amp; Ben</t>
  </si>
  <si>
    <t>oooooo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</si>
</sst>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34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2" fillId="0" borderId="10" xfId="1" applyFill="1" applyBorder="1"/>
    <xf numFmtId="0" fontId="3" fillId="0" borderId="8" xfId="1" applyFont="1" applyFill="1" applyBorder="1"/>
    <xf numFmtId="0" fontId="3" fillId="0" borderId="0" xfId="1" applyFont="1" applyFill="1"/>
    <xf numFmtId="0" fontId="1" fillId="3" borderId="3" xfId="0" applyFont="1" applyFill="1" applyBorder="1"/>
    <xf numFmtId="0" fontId="1" fillId="3" borderId="5" xfId="0" applyFont="1" applyFill="1" applyBorder="1"/>
    <xf numFmtId="0" fontId="1" fillId="3" borderId="7" xfId="0" applyFont="1" applyFill="1" applyBorder="1"/>
    <xf numFmtId="0" fontId="3" fillId="0" borderId="12" xfId="1" applyFont="1" applyFill="1" applyBorder="1"/>
    <xf numFmtId="0" fontId="0" fillId="3" borderId="0" xfId="0" applyFill="1"/>
    <xf numFmtId="0" fontId="4" fillId="0" borderId="12" xfId="1" applyFont="1" applyFill="1" applyBorder="1"/>
    <xf numFmtId="0" fontId="4" fillId="0" borderId="0" xfId="1" applyFont="1" applyFill="1"/>
    <xf numFmtId="0" fontId="4" fillId="0" borderId="8" xfId="1" applyFont="1" applyFill="1" applyBorder="1"/>
    <xf numFmtId="0" fontId="4" fillId="0" borderId="10" xfId="1" applyFont="1" applyFill="1" applyBorder="1"/>
    <xf numFmtId="0" fontId="5" fillId="0" borderId="0" xfId="0" applyFont="1"/>
    <xf numFmtId="0" fontId="5" fillId="0" borderId="9" xfId="0" applyFont="1" applyBorder="1"/>
    <xf numFmtId="0" fontId="4" fillId="0" borderId="0" xfId="0" applyFont="1"/>
    <xf numFmtId="0" fontId="1" fillId="4" borderId="0" xfId="0" applyFont="1" applyFill="1"/>
    <xf numFmtId="0" fontId="3" fillId="5" borderId="0" xfId="1" applyFont="1" applyFill="1"/>
    <xf numFmtId="0" fontId="3" fillId="5" borderId="8" xfId="1" applyFont="1" applyFill="1" applyBorder="1"/>
    <xf numFmtId="0" fontId="2" fillId="5" borderId="10" xfId="1" applyFill="1" applyBorder="1"/>
    <xf numFmtId="0" fontId="0" fillId="0" borderId="0" xfId="0" applyFill="1" applyBorder="1"/>
  </cellXfs>
  <cellStyles count="2">
    <cellStyle name="Bad" xfId="1" builtinId="27"/>
    <cellStyle name="Normal" xfId="0" builtinId="0"/>
  </cellStyles>
  <dxfs count="0"/>
  <tableStyles count="1" defaultTableStyle="TableStyleMedium2" defaultPivotStyle="PivotStyleLight16">
    <tableStyle name="Invisible" pivot="0" table="0" count="0" xr9:uid="{80FC17CE-DAEF-4944-81FC-831B986AF16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ExtTest10mm_1!$C$7:$AI$7</c:f>
              <c:numCache>
                <c:formatCode>General</c:formatCode>
                <c:ptCount val="33"/>
                <c:pt idx="0">
                  <c:v>-121.5</c:v>
                </c:pt>
                <c:pt idx="1">
                  <c:v>-108.5</c:v>
                </c:pt>
                <c:pt idx="2">
                  <c:v>-101.5</c:v>
                </c:pt>
                <c:pt idx="3">
                  <c:v>-94</c:v>
                </c:pt>
                <c:pt idx="4">
                  <c:v>-83</c:v>
                </c:pt>
                <c:pt idx="5">
                  <c:v>-75</c:v>
                </c:pt>
                <c:pt idx="6">
                  <c:v>-61.5</c:v>
                </c:pt>
                <c:pt idx="7">
                  <c:v>-65</c:v>
                </c:pt>
                <c:pt idx="8">
                  <c:v>-32</c:v>
                </c:pt>
                <c:pt idx="9">
                  <c:v>-18</c:v>
                </c:pt>
                <c:pt idx="10">
                  <c:v>-32.5</c:v>
                </c:pt>
                <c:pt idx="11">
                  <c:v>-47.5</c:v>
                </c:pt>
                <c:pt idx="12">
                  <c:v>-57.5</c:v>
                </c:pt>
                <c:pt idx="13">
                  <c:v>-69.5</c:v>
                </c:pt>
                <c:pt idx="14">
                  <c:v>-80</c:v>
                </c:pt>
                <c:pt idx="15">
                  <c:v>-90.5</c:v>
                </c:pt>
                <c:pt idx="16">
                  <c:v>-96.5</c:v>
                </c:pt>
                <c:pt idx="17">
                  <c:v>-104</c:v>
                </c:pt>
                <c:pt idx="18">
                  <c:v>-113.5</c:v>
                </c:pt>
                <c:pt idx="19">
                  <c:v>-123</c:v>
                </c:pt>
              </c:numCache>
            </c:numRef>
          </c:xVal>
          <c:yVal>
            <c:numRef>
              <c:f>ExtTest10mm_1!$C$15:$AI$15</c:f>
              <c:numCache>
                <c:formatCode>General</c:formatCode>
                <c:ptCount val="33"/>
                <c:pt idx="0">
                  <c:v>0.26363819717520748</c:v>
                </c:pt>
                <c:pt idx="1">
                  <c:v>4.503204045949718</c:v>
                </c:pt>
                <c:pt idx="2">
                  <c:v>4.292029850012379</c:v>
                </c:pt>
                <c:pt idx="3">
                  <c:v>4.0020278331196497</c:v>
                </c:pt>
                <c:pt idx="4">
                  <c:v>3.4170146735878646</c:v>
                </c:pt>
                <c:pt idx="5">
                  <c:v>2.8262014737182244</c:v>
                </c:pt>
                <c:pt idx="6">
                  <c:v>1.5382325084724908</c:v>
                </c:pt>
                <c:pt idx="7">
                  <c:v>1.2140844965662649</c:v>
                </c:pt>
                <c:pt idx="8">
                  <c:v>0.43920369384826125</c:v>
                </c:pt>
                <c:pt idx="9">
                  <c:v>-8.0856655753314327E-2</c:v>
                </c:pt>
                <c:pt idx="10">
                  <c:v>0.53921769785329232</c:v>
                </c:pt>
                <c:pt idx="11">
                  <c:v>1.2603498716892021</c:v>
                </c:pt>
                <c:pt idx="12">
                  <c:v>2.254964352094134</c:v>
                </c:pt>
                <c:pt idx="13">
                  <c:v>3.2076881107815294</c:v>
                </c:pt>
                <c:pt idx="14">
                  <c:v>3.8515488055553049</c:v>
                </c:pt>
                <c:pt idx="15">
                  <c:v>4.2435142825961298</c:v>
                </c:pt>
                <c:pt idx="16">
                  <c:v>4.6723060174235034</c:v>
                </c:pt>
                <c:pt idx="17">
                  <c:v>4.8735648831574281</c:v>
                </c:pt>
                <c:pt idx="18">
                  <c:v>5.1460262979956539</c:v>
                </c:pt>
                <c:pt idx="19">
                  <c:v>6.0871610983336719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F28-4C3A-BF5C-DBE08FD54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ExtTest10mm_2!$C$7:$AI$7</c:f>
              <c:numCache>
                <c:formatCode>General</c:formatCode>
                <c:ptCount val="33"/>
                <c:pt idx="0">
                  <c:v>-125</c:v>
                </c:pt>
                <c:pt idx="1">
                  <c:v>-120.5</c:v>
                </c:pt>
                <c:pt idx="2">
                  <c:v>-115</c:v>
                </c:pt>
                <c:pt idx="3">
                  <c:v>-111.5</c:v>
                </c:pt>
                <c:pt idx="4">
                  <c:v>-108</c:v>
                </c:pt>
                <c:pt idx="5">
                  <c:v>-101.5</c:v>
                </c:pt>
                <c:pt idx="6">
                  <c:v>-88</c:v>
                </c:pt>
                <c:pt idx="7">
                  <c:v>-80</c:v>
                </c:pt>
                <c:pt idx="8">
                  <c:v>-71</c:v>
                </c:pt>
                <c:pt idx="9">
                  <c:v>-58</c:v>
                </c:pt>
                <c:pt idx="10">
                  <c:v>-40</c:v>
                </c:pt>
                <c:pt idx="11">
                  <c:v>-32</c:v>
                </c:pt>
                <c:pt idx="12">
                  <c:v>-17.5</c:v>
                </c:pt>
                <c:pt idx="13">
                  <c:v>-10.5</c:v>
                </c:pt>
                <c:pt idx="14">
                  <c:v>-4</c:v>
                </c:pt>
                <c:pt idx="15">
                  <c:v>2</c:v>
                </c:pt>
                <c:pt idx="16">
                  <c:v>-3.5</c:v>
                </c:pt>
                <c:pt idx="17">
                  <c:v>-16</c:v>
                </c:pt>
                <c:pt idx="18">
                  <c:v>-33.5</c:v>
                </c:pt>
                <c:pt idx="19">
                  <c:v>-48</c:v>
                </c:pt>
                <c:pt idx="20">
                  <c:v>-58.5</c:v>
                </c:pt>
                <c:pt idx="21">
                  <c:v>-72</c:v>
                </c:pt>
                <c:pt idx="22">
                  <c:v>-80</c:v>
                </c:pt>
                <c:pt idx="23">
                  <c:v>-85</c:v>
                </c:pt>
                <c:pt idx="24">
                  <c:v>-88.5</c:v>
                </c:pt>
                <c:pt idx="25">
                  <c:v>-99.5</c:v>
                </c:pt>
                <c:pt idx="26">
                  <c:v>-111.5</c:v>
                </c:pt>
                <c:pt idx="27">
                  <c:v>-114.5</c:v>
                </c:pt>
                <c:pt idx="28">
                  <c:v>-123</c:v>
                </c:pt>
              </c:numCache>
            </c:numRef>
          </c:xVal>
          <c:yVal>
            <c:numRef>
              <c:f>ExtTest10mm_2!$C$15:$AI$15</c:f>
              <c:numCache>
                <c:formatCode>General</c:formatCode>
                <c:ptCount val="33"/>
                <c:pt idx="0">
                  <c:v>6.1686922582960024</c:v>
                </c:pt>
                <c:pt idx="1">
                  <c:v>6.0729840040036489</c:v>
                </c:pt>
                <c:pt idx="2">
                  <c:v>5.9167349398453775</c:v>
                </c:pt>
                <c:pt idx="3">
                  <c:v>5.983690137549968</c:v>
                </c:pt>
                <c:pt idx="4">
                  <c:v>6.2202911938343854</c:v>
                </c:pt>
                <c:pt idx="5">
                  <c:v>5.5805949463773015</c:v>
                </c:pt>
                <c:pt idx="6">
                  <c:v>4.9816385043082114</c:v>
                </c:pt>
                <c:pt idx="7">
                  <c:v>4.5599832267718101</c:v>
                </c:pt>
                <c:pt idx="8">
                  <c:v>4.0594766934228144</c:v>
                </c:pt>
                <c:pt idx="9">
                  <c:v>3.1566420596586546</c:v>
                </c:pt>
                <c:pt idx="10">
                  <c:v>2.5653160602863676</c:v>
                </c:pt>
                <c:pt idx="11">
                  <c:v>2.1271080031609513</c:v>
                </c:pt>
                <c:pt idx="12">
                  <c:v>1.7857816656369578</c:v>
                </c:pt>
                <c:pt idx="13">
                  <c:v>0.77471598902880734</c:v>
                </c:pt>
                <c:pt idx="14">
                  <c:v>0.30969688549123514</c:v>
                </c:pt>
                <c:pt idx="15">
                  <c:v>-5.7265164305165206E-2</c:v>
                </c:pt>
                <c:pt idx="16">
                  <c:v>0.53607422919584036</c:v>
                </c:pt>
                <c:pt idx="17">
                  <c:v>2.3186689634125557</c:v>
                </c:pt>
                <c:pt idx="18">
                  <c:v>2.9903371078669587</c:v>
                </c:pt>
                <c:pt idx="19">
                  <c:v>3.6135610298166738</c:v>
                </c:pt>
                <c:pt idx="20">
                  <c:v>3.9995802012739166</c:v>
                </c:pt>
                <c:pt idx="21">
                  <c:v>4.7377824490657234</c:v>
                </c:pt>
                <c:pt idx="22">
                  <c:v>5.2913626950039561</c:v>
                </c:pt>
                <c:pt idx="23">
                  <c:v>5.5565256355866133</c:v>
                </c:pt>
                <c:pt idx="24">
                  <c:v>6.0286043979188237</c:v>
                </c:pt>
                <c:pt idx="25">
                  <c:v>6.3184288033657463</c:v>
                </c:pt>
                <c:pt idx="26">
                  <c:v>6.4167214595502848</c:v>
                </c:pt>
                <c:pt idx="27">
                  <c:v>6.6684721067822155</c:v>
                </c:pt>
                <c:pt idx="28">
                  <c:v>6.5120375248934952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B53-4F24-AFB6-2777B21C3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ExtTest10mm_3!$C$7:$AI$7</c:f>
              <c:numCache>
                <c:formatCode>General</c:formatCode>
                <c:ptCount val="33"/>
                <c:pt idx="0">
                  <c:v>-123</c:v>
                </c:pt>
                <c:pt idx="1">
                  <c:v>-119</c:v>
                </c:pt>
                <c:pt idx="2">
                  <c:v>-106</c:v>
                </c:pt>
                <c:pt idx="3">
                  <c:v>-92</c:v>
                </c:pt>
              </c:numCache>
            </c:numRef>
          </c:xVal>
          <c:yVal>
            <c:numRef>
              <c:f>ExtTest10mm_3!$C$15:$AI$15</c:f>
              <c:numCache>
                <c:formatCode>General</c:formatCode>
                <c:ptCount val="33"/>
                <c:pt idx="0">
                  <c:v>7.0134415686400926</c:v>
                </c:pt>
                <c:pt idx="1">
                  <c:v>4.7293509604699846</c:v>
                </c:pt>
                <c:pt idx="2">
                  <c:v>4.3461345705947148</c:v>
                </c:pt>
                <c:pt idx="3">
                  <c:v>3.4546236345151771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CC-4674-8BEF-4A4F92954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61838912899903"/>
                  <c:y val="-0.186889408108211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ExtTest10mm_4!$C$7:$AI$7</c:f>
              <c:numCache>
                <c:formatCode>General</c:formatCode>
                <c:ptCount val="33"/>
                <c:pt idx="0">
                  <c:v>-76.5</c:v>
                </c:pt>
                <c:pt idx="1">
                  <c:v>-69</c:v>
                </c:pt>
                <c:pt idx="2">
                  <c:v>-51.5</c:v>
                </c:pt>
                <c:pt idx="3">
                  <c:v>-40.5</c:v>
                </c:pt>
                <c:pt idx="4">
                  <c:v>-39.5</c:v>
                </c:pt>
                <c:pt idx="5">
                  <c:v>-55.5</c:v>
                </c:pt>
                <c:pt idx="6">
                  <c:v>-35</c:v>
                </c:pt>
                <c:pt idx="7">
                  <c:v>-25.5</c:v>
                </c:pt>
                <c:pt idx="8">
                  <c:v>-20</c:v>
                </c:pt>
                <c:pt idx="9">
                  <c:v>-12.5</c:v>
                </c:pt>
                <c:pt idx="10">
                  <c:v>-5</c:v>
                </c:pt>
                <c:pt idx="11">
                  <c:v>0.5</c:v>
                </c:pt>
                <c:pt idx="12">
                  <c:v>4</c:v>
                </c:pt>
                <c:pt idx="13">
                  <c:v>12.5</c:v>
                </c:pt>
                <c:pt idx="14">
                  <c:v>20</c:v>
                </c:pt>
                <c:pt idx="15">
                  <c:v>28</c:v>
                </c:pt>
                <c:pt idx="16">
                  <c:v>35</c:v>
                </c:pt>
                <c:pt idx="17">
                  <c:v>23</c:v>
                </c:pt>
                <c:pt idx="18">
                  <c:v>20</c:v>
                </c:pt>
                <c:pt idx="19">
                  <c:v>11</c:v>
                </c:pt>
                <c:pt idx="20">
                  <c:v>1</c:v>
                </c:pt>
                <c:pt idx="21">
                  <c:v>-16</c:v>
                </c:pt>
                <c:pt idx="22">
                  <c:v>-24</c:v>
                </c:pt>
                <c:pt idx="23">
                  <c:v>-44</c:v>
                </c:pt>
                <c:pt idx="24">
                  <c:v>-53.4</c:v>
                </c:pt>
                <c:pt idx="25">
                  <c:v>-66</c:v>
                </c:pt>
              </c:numCache>
            </c:numRef>
          </c:xVal>
          <c:yVal>
            <c:numRef>
              <c:f>ExtTest10mm_4!$C$15:$AI$15</c:f>
              <c:numCache>
                <c:formatCode>General</c:formatCode>
                <c:ptCount val="33"/>
                <c:pt idx="0">
                  <c:v>8.5047736202914699</c:v>
                </c:pt>
                <c:pt idx="1">
                  <c:v>7.5394492849781658</c:v>
                </c:pt>
                <c:pt idx="2">
                  <c:v>6.6194684828502801</c:v>
                </c:pt>
                <c:pt idx="3">
                  <c:v>5.8355816188247456</c:v>
                </c:pt>
                <c:pt idx="4">
                  <c:v>6.1203702894136685</c:v>
                </c:pt>
                <c:pt idx="5">
                  <c:v>7.0059001857849141</c:v>
                </c:pt>
                <c:pt idx="6">
                  <c:v>6.1782911841842409</c:v>
                </c:pt>
                <c:pt idx="7">
                  <c:v>6.391414397009699</c:v>
                </c:pt>
                <c:pt idx="8">
                  <c:v>5.9680455904544294</c:v>
                </c:pt>
                <c:pt idx="9">
                  <c:v>6.0991051231568809</c:v>
                </c:pt>
                <c:pt idx="10">
                  <c:v>5.937408550285844</c:v>
                </c:pt>
                <c:pt idx="11">
                  <c:v>4.880958611179155</c:v>
                </c:pt>
                <c:pt idx="12">
                  <c:v>4.3756598948371668</c:v>
                </c:pt>
                <c:pt idx="13">
                  <c:v>3.388083398389504</c:v>
                </c:pt>
                <c:pt idx="14">
                  <c:v>2.7958621930655867</c:v>
                </c:pt>
                <c:pt idx="15">
                  <c:v>1.7582375762877434</c:v>
                </c:pt>
                <c:pt idx="16">
                  <c:v>0.30675317190114915</c:v>
                </c:pt>
                <c:pt idx="17">
                  <c:v>1.7259028691611564</c:v>
                </c:pt>
                <c:pt idx="18">
                  <c:v>3.2040950443238865</c:v>
                </c:pt>
                <c:pt idx="19">
                  <c:v>5.1452227356887708</c:v>
                </c:pt>
                <c:pt idx="20">
                  <c:v>6.3042423522142954</c:v>
                </c:pt>
                <c:pt idx="21">
                  <c:v>6.8178701420600625</c:v>
                </c:pt>
                <c:pt idx="22">
                  <c:v>7.5119191588333143</c:v>
                </c:pt>
                <c:pt idx="23">
                  <c:v>7.9116485605610567</c:v>
                </c:pt>
                <c:pt idx="24">
                  <c:v>8.1105270447475082</c:v>
                </c:pt>
                <c:pt idx="25">
                  <c:v>8.8620667966654647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FD1-4B3B-8B30-38083F1B9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1592257217847768"/>
                  <c:y val="-0.250834062408865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8972812773403326"/>
                  <c:y val="-4.49923447069116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ExtTest10mm_5!$C$7:$P$7</c:f>
              <c:numCache>
                <c:formatCode>General</c:formatCode>
                <c:ptCount val="14"/>
                <c:pt idx="0">
                  <c:v>-120</c:v>
                </c:pt>
                <c:pt idx="1">
                  <c:v>-109</c:v>
                </c:pt>
                <c:pt idx="2">
                  <c:v>-101</c:v>
                </c:pt>
                <c:pt idx="3">
                  <c:v>-97</c:v>
                </c:pt>
                <c:pt idx="4">
                  <c:v>-89</c:v>
                </c:pt>
                <c:pt idx="5">
                  <c:v>-87</c:v>
                </c:pt>
                <c:pt idx="6">
                  <c:v>-81.5</c:v>
                </c:pt>
                <c:pt idx="7">
                  <c:v>-75</c:v>
                </c:pt>
                <c:pt idx="8">
                  <c:v>-74</c:v>
                </c:pt>
                <c:pt idx="9">
                  <c:v>-59.5</c:v>
                </c:pt>
                <c:pt idx="10">
                  <c:v>-48.5</c:v>
                </c:pt>
                <c:pt idx="11">
                  <c:v>-3</c:v>
                </c:pt>
                <c:pt idx="12">
                  <c:v>-30</c:v>
                </c:pt>
                <c:pt idx="13">
                  <c:v>-18.5</c:v>
                </c:pt>
              </c:numCache>
            </c:numRef>
          </c:xVal>
          <c:yVal>
            <c:numRef>
              <c:f>ExtTest10mm_5!$C$15:$P$15</c:f>
              <c:numCache>
                <c:formatCode>General</c:formatCode>
                <c:ptCount val="14"/>
                <c:pt idx="0">
                  <c:v>4.0327772509041173</c:v>
                </c:pt>
                <c:pt idx="1">
                  <c:v>3.7250747045067913</c:v>
                </c:pt>
                <c:pt idx="2">
                  <c:v>3.5012891110164026</c:v>
                </c:pt>
                <c:pt idx="3">
                  <c:v>3.3425458781636546</c:v>
                </c:pt>
                <c:pt idx="4">
                  <c:v>3.0706230541318886</c:v>
                </c:pt>
                <c:pt idx="5">
                  <c:v>2.8447657840215617</c:v>
                </c:pt>
                <c:pt idx="6">
                  <c:v>2.8446217708736867</c:v>
                </c:pt>
                <c:pt idx="7">
                  <c:v>2.7733440251756893</c:v>
                </c:pt>
                <c:pt idx="8">
                  <c:v>2.6744099726497295</c:v>
                </c:pt>
                <c:pt idx="9">
                  <c:v>2.3824102126588129</c:v>
                </c:pt>
                <c:pt idx="10">
                  <c:v>1.6805208635862576</c:v>
                </c:pt>
                <c:pt idx="11">
                  <c:v>0.39482793300422558</c:v>
                </c:pt>
                <c:pt idx="12">
                  <c:v>1.7587132677407729</c:v>
                </c:pt>
                <c:pt idx="13">
                  <c:v>1.550440293736433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E-40BD-9CAA-A47E76139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923224"/>
        <c:axId val="331923552"/>
      </c:scatterChart>
      <c:valAx>
        <c:axId val="331923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552"/>
        <c:crosses val="autoZero"/>
        <c:crossBetween val="midCat"/>
      </c:valAx>
      <c:valAx>
        <c:axId val="33192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ExtTest10mm_6!$C$7:$AE$7</c:f>
              <c:numCache>
                <c:formatCode>General</c:formatCode>
                <c:ptCount val="29"/>
                <c:pt idx="0">
                  <c:v>1.5</c:v>
                </c:pt>
                <c:pt idx="1">
                  <c:v>-5.5</c:v>
                </c:pt>
                <c:pt idx="2">
                  <c:v>-14.5</c:v>
                </c:pt>
                <c:pt idx="3">
                  <c:v>-20</c:v>
                </c:pt>
                <c:pt idx="4">
                  <c:v>-28.5</c:v>
                </c:pt>
                <c:pt idx="5">
                  <c:v>-35.5</c:v>
                </c:pt>
                <c:pt idx="6">
                  <c:v>-40</c:v>
                </c:pt>
                <c:pt idx="7">
                  <c:v>-50.5</c:v>
                </c:pt>
                <c:pt idx="8">
                  <c:v>-60</c:v>
                </c:pt>
                <c:pt idx="9">
                  <c:v>-66.5</c:v>
                </c:pt>
                <c:pt idx="10">
                  <c:v>-72.5</c:v>
                </c:pt>
                <c:pt idx="11">
                  <c:v>-78.5</c:v>
                </c:pt>
                <c:pt idx="12">
                  <c:v>-88</c:v>
                </c:pt>
                <c:pt idx="13">
                  <c:v>-94.5</c:v>
                </c:pt>
                <c:pt idx="14">
                  <c:v>-105</c:v>
                </c:pt>
                <c:pt idx="15">
                  <c:v>-112.5</c:v>
                </c:pt>
                <c:pt idx="16">
                  <c:v>-119.5</c:v>
                </c:pt>
              </c:numCache>
            </c:numRef>
          </c:xVal>
          <c:yVal>
            <c:numRef>
              <c:f>ExtTest10mm_6!$C$15:$AE$15</c:f>
              <c:numCache>
                <c:formatCode>General</c:formatCode>
                <c:ptCount val="29"/>
                <c:pt idx="0">
                  <c:v>0.55424608033235112</c:v>
                </c:pt>
                <c:pt idx="1">
                  <c:v>0.94151232788941708</c:v>
                </c:pt>
                <c:pt idx="2">
                  <c:v>1.7654504703100355</c:v>
                </c:pt>
                <c:pt idx="3">
                  <c:v>1.7973782299686616</c:v>
                </c:pt>
                <c:pt idx="4">
                  <c:v>2.6505548329815083</c:v>
                </c:pt>
                <c:pt idx="5">
                  <c:v>2.7667878003414437</c:v>
                </c:pt>
                <c:pt idx="6">
                  <c:v>2.2112395854139617</c:v>
                </c:pt>
                <c:pt idx="7">
                  <c:v>3.2751267054083995</c:v>
                </c:pt>
                <c:pt idx="8">
                  <c:v>3.4232908014126586</c:v>
                </c:pt>
                <c:pt idx="9">
                  <c:v>3.6112742452683877</c:v>
                </c:pt>
                <c:pt idx="10">
                  <c:v>3.6879915375968162</c:v>
                </c:pt>
                <c:pt idx="11">
                  <c:v>3.8334579939029743</c:v>
                </c:pt>
                <c:pt idx="12">
                  <c:v>3.5876452882959535</c:v>
                </c:pt>
                <c:pt idx="13">
                  <c:v>3.5546509046937125</c:v>
                </c:pt>
                <c:pt idx="14">
                  <c:v>3.9491986185374381</c:v>
                </c:pt>
                <c:pt idx="15">
                  <c:v>4.5688312688392907</c:v>
                </c:pt>
                <c:pt idx="16">
                  <c:v>4.4080232672318793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A1-47A1-9937-FB3F10438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ExtTest10mm_7!$C$7:$AE$7</c:f>
              <c:numCache>
                <c:formatCode>General</c:formatCode>
                <c:ptCount val="29"/>
                <c:pt idx="0">
                  <c:v>1.5</c:v>
                </c:pt>
                <c:pt idx="1">
                  <c:v>28</c:v>
                </c:pt>
                <c:pt idx="2">
                  <c:v>-32</c:v>
                </c:pt>
                <c:pt idx="3">
                  <c:v>-14</c:v>
                </c:pt>
                <c:pt idx="4">
                  <c:v>4</c:v>
                </c:pt>
              </c:numCache>
            </c:numRef>
          </c:xVal>
          <c:yVal>
            <c:numRef>
              <c:f>ExtTest10mm_7!$C$16:$AE$16</c:f>
              <c:numCache>
                <c:formatCode>General</c:formatCode>
                <c:ptCount val="29"/>
                <c:pt idx="0">
                  <c:v>0.55829367015563802</c:v>
                </c:pt>
                <c:pt idx="1">
                  <c:v>0.39904182493424839</c:v>
                </c:pt>
                <c:pt idx="2">
                  <c:v>6.6697068808236901</c:v>
                </c:pt>
                <c:pt idx="3">
                  <c:v>6.8734537902217339</c:v>
                </c:pt>
                <c:pt idx="4">
                  <c:v>5.4126384787884589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60-49D9-AAA9-100CB6C44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ExtTest10mm_8!$C$7:$AE$7</c:f>
              <c:numCache>
                <c:formatCode>General</c:formatCode>
                <c:ptCount val="29"/>
                <c:pt idx="0">
                  <c:v>40</c:v>
                </c:pt>
                <c:pt idx="1">
                  <c:v>38</c:v>
                </c:pt>
                <c:pt idx="2">
                  <c:v>28</c:v>
                </c:pt>
                <c:pt idx="3">
                  <c:v>25</c:v>
                </c:pt>
                <c:pt idx="4">
                  <c:v>15</c:v>
                </c:pt>
                <c:pt idx="5">
                  <c:v>0</c:v>
                </c:pt>
                <c:pt idx="6">
                  <c:v>-9</c:v>
                </c:pt>
                <c:pt idx="7">
                  <c:v>-25</c:v>
                </c:pt>
                <c:pt idx="8">
                  <c:v>-29</c:v>
                </c:pt>
                <c:pt idx="9">
                  <c:v>-30</c:v>
                </c:pt>
                <c:pt idx="10">
                  <c:v>-40</c:v>
                </c:pt>
                <c:pt idx="11">
                  <c:v>-69</c:v>
                </c:pt>
                <c:pt idx="12">
                  <c:v>-73</c:v>
                </c:pt>
              </c:numCache>
            </c:numRef>
          </c:xVal>
          <c:yVal>
            <c:numRef>
              <c:f>ExtTest10mm_8!$C$16:$AE$16</c:f>
              <c:numCache>
                <c:formatCode>General</c:formatCode>
                <c:ptCount val="29"/>
                <c:pt idx="0">
                  <c:v>0.24953421304926138</c:v>
                </c:pt>
                <c:pt idx="1">
                  <c:v>1.5142559980666597</c:v>
                </c:pt>
                <c:pt idx="2">
                  <c:v>4.2075990807440986</c:v>
                </c:pt>
                <c:pt idx="3">
                  <c:v>5.7870122576907166</c:v>
                </c:pt>
                <c:pt idx="4">
                  <c:v>7.5403062269525929</c:v>
                </c:pt>
                <c:pt idx="5">
                  <c:v>8.5729519254467039</c:v>
                </c:pt>
                <c:pt idx="6">
                  <c:v>8.8872535762189724</c:v>
                </c:pt>
                <c:pt idx="7">
                  <c:v>8.6360547250805002</c:v>
                </c:pt>
                <c:pt idx="8">
                  <c:v>8.1927664247116212</c:v>
                </c:pt>
                <c:pt idx="9">
                  <c:v>7.6684692202315645</c:v>
                </c:pt>
                <c:pt idx="10">
                  <c:v>7.8729286964195762</c:v>
                </c:pt>
                <c:pt idx="11">
                  <c:v>9.6549169010497948</c:v>
                </c:pt>
                <c:pt idx="12">
                  <c:v>9.1890008400799115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D1-4D6B-B815-E22A8BA0F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ExtTest10mm_9!$C$7:$AE$7</c:f>
              <c:numCache>
                <c:formatCode>General</c:formatCode>
                <c:ptCount val="29"/>
                <c:pt idx="0">
                  <c:v>41.5</c:v>
                </c:pt>
                <c:pt idx="1">
                  <c:v>38.5</c:v>
                </c:pt>
                <c:pt idx="2">
                  <c:v>27.7</c:v>
                </c:pt>
                <c:pt idx="3">
                  <c:v>16.399999999999999</c:v>
                </c:pt>
                <c:pt idx="4">
                  <c:v>8.4</c:v>
                </c:pt>
                <c:pt idx="5">
                  <c:v>0</c:v>
                </c:pt>
                <c:pt idx="6">
                  <c:v>-11</c:v>
                </c:pt>
                <c:pt idx="7">
                  <c:v>-23.5</c:v>
                </c:pt>
                <c:pt idx="8">
                  <c:v>-34.75</c:v>
                </c:pt>
                <c:pt idx="9">
                  <c:v>-44.18</c:v>
                </c:pt>
                <c:pt idx="10">
                  <c:v>-52.89</c:v>
                </c:pt>
              </c:numCache>
            </c:numRef>
          </c:xVal>
          <c:yVal>
            <c:numRef>
              <c:f>ExtTest10mm_9!$C$16:$AE$16</c:f>
              <c:numCache>
                <c:formatCode>General</c:formatCode>
                <c:ptCount val="29"/>
                <c:pt idx="0">
                  <c:v>0</c:v>
                </c:pt>
                <c:pt idx="1">
                  <c:v>0.479658256083415</c:v>
                </c:pt>
                <c:pt idx="2">
                  <c:v>6.0853878302472877</c:v>
                </c:pt>
                <c:pt idx="3">
                  <c:v>8.1726740541656504</c:v>
                </c:pt>
                <c:pt idx="4">
                  <c:v>9.0919159565125973</c:v>
                </c:pt>
                <c:pt idx="5">
                  <c:v>9.5947950567029991</c:v>
                </c:pt>
                <c:pt idx="6">
                  <c:v>9.589853766973512</c:v>
                </c:pt>
                <c:pt idx="7">
                  <c:v>9.5779098172379413</c:v>
                </c:pt>
                <c:pt idx="8">
                  <c:v>9.2927221705041383</c:v>
                </c:pt>
                <c:pt idx="9">
                  <c:v>10.113169477672042</c:v>
                </c:pt>
                <c:pt idx="10">
                  <c:v>10.987961063729124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67-4A63-B5EA-9762DA8D4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ExtTest10mm_10!$C$7:$AE$7</c:f>
              <c:numCache>
                <c:formatCode>General</c:formatCode>
                <c:ptCount val="29"/>
                <c:pt idx="0">
                  <c:v>4.0999999999999996</c:v>
                </c:pt>
                <c:pt idx="1">
                  <c:v>2</c:v>
                </c:pt>
                <c:pt idx="2">
                  <c:v>-4</c:v>
                </c:pt>
                <c:pt idx="3">
                  <c:v>-3.3</c:v>
                </c:pt>
                <c:pt idx="4">
                  <c:v>-16.600000000000001</c:v>
                </c:pt>
                <c:pt idx="5">
                  <c:v>-28</c:v>
                </c:pt>
                <c:pt idx="6">
                  <c:v>-40</c:v>
                </c:pt>
                <c:pt idx="7">
                  <c:v>-51.85</c:v>
                </c:pt>
                <c:pt idx="8">
                  <c:v>-64</c:v>
                </c:pt>
                <c:pt idx="9">
                  <c:v>-62.6</c:v>
                </c:pt>
                <c:pt idx="10">
                  <c:v>-78</c:v>
                </c:pt>
                <c:pt idx="11">
                  <c:v>-92.7</c:v>
                </c:pt>
                <c:pt idx="12">
                  <c:v>-100</c:v>
                </c:pt>
              </c:numCache>
            </c:numRef>
          </c:xVal>
          <c:yVal>
            <c:numRef>
              <c:f>ExtTest10mm_10!$C$16:$AE$16</c:f>
              <c:numCache>
                <c:formatCode>General</c:formatCode>
                <c:ptCount val="29"/>
                <c:pt idx="0">
                  <c:v>0.27325050029125281</c:v>
                </c:pt>
                <c:pt idx="1">
                  <c:v>1.018479137449215</c:v>
                </c:pt>
                <c:pt idx="2">
                  <c:v>2.0082129188448139</c:v>
                </c:pt>
                <c:pt idx="3">
                  <c:v>2.1398167627003817</c:v>
                </c:pt>
                <c:pt idx="4">
                  <c:v>3.2859370168917823</c:v>
                </c:pt>
                <c:pt idx="5">
                  <c:v>3.5530139168158374</c:v>
                </c:pt>
                <c:pt idx="6">
                  <c:v>3.3459946959783196</c:v>
                </c:pt>
                <c:pt idx="7">
                  <c:v>3.6367480371543559</c:v>
                </c:pt>
                <c:pt idx="8">
                  <c:v>4.0980497945480545</c:v>
                </c:pt>
                <c:pt idx="9">
                  <c:v>4.0324072835457061</c:v>
                </c:pt>
                <c:pt idx="10">
                  <c:v>4.4894766334283407</c:v>
                </c:pt>
                <c:pt idx="11">
                  <c:v>4.6842125899402092</c:v>
                </c:pt>
                <c:pt idx="12">
                  <c:v>4.9470759618756661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1C-4252-85B2-CF2A326FC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ExtTest10mm_11!$C$7:$AE$7</c:f>
              <c:numCache>
                <c:formatCode>General</c:formatCode>
                <c:ptCount val="29"/>
                <c:pt idx="0">
                  <c:v>-101</c:v>
                </c:pt>
                <c:pt idx="1">
                  <c:v>-84.5</c:v>
                </c:pt>
                <c:pt idx="2">
                  <c:v>-61</c:v>
                </c:pt>
                <c:pt idx="3">
                  <c:v>-25</c:v>
                </c:pt>
                <c:pt idx="4">
                  <c:v>-2.5</c:v>
                </c:pt>
                <c:pt idx="5">
                  <c:v>4</c:v>
                </c:pt>
                <c:pt idx="6">
                  <c:v>-14.5</c:v>
                </c:pt>
                <c:pt idx="7">
                  <c:v>-30</c:v>
                </c:pt>
                <c:pt idx="8">
                  <c:v>-40</c:v>
                </c:pt>
                <c:pt idx="9">
                  <c:v>-53.5</c:v>
                </c:pt>
                <c:pt idx="10">
                  <c:v>-63</c:v>
                </c:pt>
                <c:pt idx="11">
                  <c:v>-85</c:v>
                </c:pt>
                <c:pt idx="12">
                  <c:v>-96</c:v>
                </c:pt>
                <c:pt idx="13">
                  <c:v>-106.5</c:v>
                </c:pt>
              </c:numCache>
            </c:numRef>
          </c:xVal>
          <c:yVal>
            <c:numRef>
              <c:f>ExtTest10mm_11!$C$16:$AE$16</c:f>
              <c:numCache>
                <c:formatCode>General</c:formatCode>
                <c:ptCount val="29"/>
                <c:pt idx="0">
                  <c:v>4.1076941173321835</c:v>
                </c:pt>
                <c:pt idx="1">
                  <c:v>3.2488282465245577</c:v>
                </c:pt>
                <c:pt idx="2">
                  <c:v>2.6482887751287043</c:v>
                </c:pt>
                <c:pt idx="3">
                  <c:v>1.9985703282089087</c:v>
                </c:pt>
                <c:pt idx="4">
                  <c:v>0.74522863715796217</c:v>
                </c:pt>
                <c:pt idx="5">
                  <c:v>0.24940114058390522</c:v>
                </c:pt>
                <c:pt idx="6">
                  <c:v>2.3747517585233231</c:v>
                </c:pt>
                <c:pt idx="7">
                  <c:v>3.2569294237478505</c:v>
                </c:pt>
                <c:pt idx="8">
                  <c:v>2.7371491864067816</c:v>
                </c:pt>
                <c:pt idx="9">
                  <c:v>3.2973182203532829</c:v>
                </c:pt>
                <c:pt idx="10">
                  <c:v>3.6031513786602369</c:v>
                </c:pt>
                <c:pt idx="11">
                  <c:v>3.8046722299114375</c:v>
                </c:pt>
                <c:pt idx="12">
                  <c:v>4.3479101475855275</c:v>
                </c:pt>
                <c:pt idx="13">
                  <c:v>5.0687639409674814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E4-4688-8087-06DE2380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result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ExtTest10mm_12!$D$7:$S$7</c:f>
              <c:numCache>
                <c:formatCode>General</c:formatCode>
                <c:ptCount val="16"/>
                <c:pt idx="0">
                  <c:v>28.29</c:v>
                </c:pt>
                <c:pt idx="1">
                  <c:v>18.149999999999999</c:v>
                </c:pt>
                <c:pt idx="2">
                  <c:v>1.29</c:v>
                </c:pt>
                <c:pt idx="3">
                  <c:v>-14.86</c:v>
                </c:pt>
                <c:pt idx="4">
                  <c:v>-25.64</c:v>
                </c:pt>
                <c:pt idx="5">
                  <c:v>-36.76</c:v>
                </c:pt>
                <c:pt idx="6">
                  <c:v>-42.87</c:v>
                </c:pt>
                <c:pt idx="7">
                  <c:v>-49.33</c:v>
                </c:pt>
                <c:pt idx="8">
                  <c:v>-56.87</c:v>
                </c:pt>
                <c:pt idx="9">
                  <c:v>-68.36</c:v>
                </c:pt>
                <c:pt idx="10">
                  <c:v>-77.69</c:v>
                </c:pt>
                <c:pt idx="11">
                  <c:v>-84.16</c:v>
                </c:pt>
                <c:pt idx="12">
                  <c:v>-90.1</c:v>
                </c:pt>
                <c:pt idx="13">
                  <c:v>-99.233999999999995</c:v>
                </c:pt>
                <c:pt idx="14">
                  <c:v>-82</c:v>
                </c:pt>
                <c:pt idx="15">
                  <c:v>-65.48</c:v>
                </c:pt>
              </c:numCache>
            </c:numRef>
          </c:xVal>
          <c:yVal>
            <c:numRef>
              <c:f>ExtTest10mm_12!$D$16:$AB$16</c:f>
              <c:numCache>
                <c:formatCode>General</c:formatCode>
                <c:ptCount val="25"/>
                <c:pt idx="0">
                  <c:v>0.38934455560856757</c:v>
                </c:pt>
                <c:pt idx="1">
                  <c:v>1.8112948210918218</c:v>
                </c:pt>
                <c:pt idx="2">
                  <c:v>4.4750917512529496</c:v>
                </c:pt>
                <c:pt idx="3">
                  <c:v>5.4446222516176634</c:v>
                </c:pt>
                <c:pt idx="4">
                  <c:v>5.9469453841091626</c:v>
                </c:pt>
                <c:pt idx="5">
                  <c:v>5.6590559428960212</c:v>
                </c:pt>
                <c:pt idx="6">
                  <c:v>6.0927652115792634</c:v>
                </c:pt>
                <c:pt idx="7">
                  <c:v>6.0976142089621366</c:v>
                </c:pt>
                <c:pt idx="8">
                  <c:v>6.3279415846485803</c:v>
                </c:pt>
                <c:pt idx="9">
                  <c:v>7.0095037627925798</c:v>
                </c:pt>
                <c:pt idx="10">
                  <c:v>7.5711771242618884</c:v>
                </c:pt>
                <c:pt idx="11">
                  <c:v>7.937808715762241</c:v>
                </c:pt>
                <c:pt idx="12">
                  <c:v>8.3306919291859725</c:v>
                </c:pt>
                <c:pt idx="13">
                  <c:v>9.369972199445602</c:v>
                </c:pt>
                <c:pt idx="14">
                  <c:v>7.0892341737595572</c:v>
                </c:pt>
                <c:pt idx="15">
                  <c:v>5.4793670426458965</c:v>
                </c:pt>
                <c:pt idx="16">
                  <c:v>4.957246848957868</c:v>
                </c:pt>
                <c:pt idx="17">
                  <c:v>4.8935172428682936</c:v>
                </c:pt>
                <c:pt idx="18">
                  <c:v>4.5504713609212226</c:v>
                </c:pt>
                <c:pt idx="19">
                  <c:v>0.10037237370560359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5D-4D76-8301-4B545B228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7899278215223094"/>
                  <c:y val="0.32019715357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FlxTest10mm_1!$C$7:$AI$7</c:f>
              <c:numCache>
                <c:formatCode>General</c:formatCode>
                <c:ptCount val="33"/>
                <c:pt idx="0">
                  <c:v>-5.5</c:v>
                </c:pt>
                <c:pt idx="1">
                  <c:v>-10.5</c:v>
                </c:pt>
                <c:pt idx="2">
                  <c:v>-25.5</c:v>
                </c:pt>
                <c:pt idx="3">
                  <c:v>-4.5</c:v>
                </c:pt>
                <c:pt idx="4">
                  <c:v>-14.5</c:v>
                </c:pt>
                <c:pt idx="5">
                  <c:v>-20</c:v>
                </c:pt>
                <c:pt idx="6">
                  <c:v>-33</c:v>
                </c:pt>
                <c:pt idx="7">
                  <c:v>-39.5</c:v>
                </c:pt>
                <c:pt idx="8">
                  <c:v>-43</c:v>
                </c:pt>
                <c:pt idx="9">
                  <c:v>-50</c:v>
                </c:pt>
                <c:pt idx="10">
                  <c:v>-62.5</c:v>
                </c:pt>
                <c:pt idx="11">
                  <c:v>-60</c:v>
                </c:pt>
                <c:pt idx="12">
                  <c:v>-55</c:v>
                </c:pt>
                <c:pt idx="13">
                  <c:v>-53.5</c:v>
                </c:pt>
                <c:pt idx="14">
                  <c:v>-46</c:v>
                </c:pt>
                <c:pt idx="15">
                  <c:v>-40</c:v>
                </c:pt>
                <c:pt idx="16">
                  <c:v>-36.5</c:v>
                </c:pt>
                <c:pt idx="17">
                  <c:v>-33.5</c:v>
                </c:pt>
                <c:pt idx="18">
                  <c:v>-29.5</c:v>
                </c:pt>
                <c:pt idx="19">
                  <c:v>-24.5</c:v>
                </c:pt>
                <c:pt idx="20">
                  <c:v>-17.5</c:v>
                </c:pt>
                <c:pt idx="21">
                  <c:v>-14.5</c:v>
                </c:pt>
                <c:pt idx="22">
                  <c:v>-5.5</c:v>
                </c:pt>
                <c:pt idx="23">
                  <c:v>-3</c:v>
                </c:pt>
                <c:pt idx="24">
                  <c:v>-0.5</c:v>
                </c:pt>
                <c:pt idx="25">
                  <c:v>3.5</c:v>
                </c:pt>
                <c:pt idx="26">
                  <c:v>11.5</c:v>
                </c:pt>
                <c:pt idx="27">
                  <c:v>19.5</c:v>
                </c:pt>
              </c:numCache>
            </c:numRef>
          </c:xVal>
          <c:yVal>
            <c:numRef>
              <c:f>FlxTest10mm_1!$C$15:$AI$15</c:f>
              <c:numCache>
                <c:formatCode>General</c:formatCode>
                <c:ptCount val="33"/>
                <c:pt idx="0">
                  <c:v>-13.550199438030189</c:v>
                </c:pt>
                <c:pt idx="1">
                  <c:v>-12.715746326203965</c:v>
                </c:pt>
                <c:pt idx="2">
                  <c:v>-12.227450296743585</c:v>
                </c:pt>
                <c:pt idx="3">
                  <c:v>-13.574295183417183</c:v>
                </c:pt>
                <c:pt idx="4">
                  <c:v>-12.617833179689791</c:v>
                </c:pt>
                <c:pt idx="5">
                  <c:v>-11.427173303326315</c:v>
                </c:pt>
                <c:pt idx="6">
                  <c:v>-7.8289359826583684</c:v>
                </c:pt>
                <c:pt idx="7">
                  <c:v>-6.4962395866945686</c:v>
                </c:pt>
                <c:pt idx="8">
                  <c:v>-4.9404873370427511</c:v>
                </c:pt>
                <c:pt idx="9">
                  <c:v>-2.8261340010696823</c:v>
                </c:pt>
                <c:pt idx="10">
                  <c:v>-1.2108000422274927</c:v>
                </c:pt>
                <c:pt idx="11">
                  <c:v>-0.11021594724709009</c:v>
                </c:pt>
                <c:pt idx="12">
                  <c:v>-1.5137448723481624</c:v>
                </c:pt>
                <c:pt idx="13">
                  <c:v>-3.1927408242720881</c:v>
                </c:pt>
                <c:pt idx="14">
                  <c:v>-4.8615958230354943</c:v>
                </c:pt>
                <c:pt idx="15">
                  <c:v>-6.8694525901110115</c:v>
                </c:pt>
                <c:pt idx="16">
                  <c:v>-8.5997889837959107</c:v>
                </c:pt>
                <c:pt idx="17">
                  <c:v>-10.35823139969961</c:v>
                </c:pt>
                <c:pt idx="18">
                  <c:v>-11.863637901467659</c:v>
                </c:pt>
                <c:pt idx="19">
                  <c:v>-13.477555041999489</c:v>
                </c:pt>
                <c:pt idx="20">
                  <c:v>-13.77813076308844</c:v>
                </c:pt>
                <c:pt idx="21">
                  <c:v>-14.884597105183458</c:v>
                </c:pt>
                <c:pt idx="22">
                  <c:v>-14.534539473342328</c:v>
                </c:pt>
                <c:pt idx="23">
                  <c:v>-14.338144060893327</c:v>
                </c:pt>
                <c:pt idx="24">
                  <c:v>-14.021223986689929</c:v>
                </c:pt>
                <c:pt idx="25">
                  <c:v>-12.539046654783448</c:v>
                </c:pt>
                <c:pt idx="26">
                  <c:v>-11.167854768300959</c:v>
                </c:pt>
                <c:pt idx="27">
                  <c:v>-8.2836070695559112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71-4C56-A69D-B7F3E8089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762374401637524"/>
                  <c:y val="4.55845955158244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FlxTest10mm_2!$C$7:$AI$7</c:f>
              <c:numCache>
                <c:formatCode>General</c:formatCode>
                <c:ptCount val="33"/>
                <c:pt idx="0">
                  <c:v>6</c:v>
                </c:pt>
                <c:pt idx="1">
                  <c:v>5.5</c:v>
                </c:pt>
                <c:pt idx="2">
                  <c:v>-1</c:v>
                </c:pt>
                <c:pt idx="3">
                  <c:v>-15</c:v>
                </c:pt>
                <c:pt idx="4">
                  <c:v>-26.6</c:v>
                </c:pt>
                <c:pt idx="5">
                  <c:v>-35</c:v>
                </c:pt>
                <c:pt idx="6">
                  <c:v>-42.5</c:v>
                </c:pt>
                <c:pt idx="7">
                  <c:v>-56</c:v>
                </c:pt>
                <c:pt idx="8">
                  <c:v>-56</c:v>
                </c:pt>
                <c:pt idx="9">
                  <c:v>-63</c:v>
                </c:pt>
                <c:pt idx="10">
                  <c:v>-64</c:v>
                </c:pt>
                <c:pt idx="11">
                  <c:v>-55</c:v>
                </c:pt>
                <c:pt idx="12">
                  <c:v>-48</c:v>
                </c:pt>
                <c:pt idx="13">
                  <c:v>-42</c:v>
                </c:pt>
                <c:pt idx="14">
                  <c:v>-35</c:v>
                </c:pt>
                <c:pt idx="15">
                  <c:v>-26</c:v>
                </c:pt>
                <c:pt idx="16">
                  <c:v>-19</c:v>
                </c:pt>
                <c:pt idx="17">
                  <c:v>-11</c:v>
                </c:pt>
                <c:pt idx="18">
                  <c:v>0.5</c:v>
                </c:pt>
                <c:pt idx="19">
                  <c:v>11.5</c:v>
                </c:pt>
              </c:numCache>
            </c:numRef>
          </c:xVal>
          <c:yVal>
            <c:numRef>
              <c:f>FlxTest10mm_2!$C$15:$AI$15</c:f>
              <c:numCache>
                <c:formatCode>General</c:formatCode>
                <c:ptCount val="33"/>
                <c:pt idx="0">
                  <c:v>-12.024486481310953</c:v>
                </c:pt>
                <c:pt idx="1">
                  <c:v>-12.010720430450908</c:v>
                </c:pt>
                <c:pt idx="2">
                  <c:v>-12.467074331666348</c:v>
                </c:pt>
                <c:pt idx="3">
                  <c:v>-11.429265093789359</c:v>
                </c:pt>
                <c:pt idx="4">
                  <c:v>-9.361208446969103</c:v>
                </c:pt>
                <c:pt idx="5">
                  <c:v>-7.6761795853386783</c:v>
                </c:pt>
                <c:pt idx="6">
                  <c:v>-4.9579976724776733</c:v>
                </c:pt>
                <c:pt idx="7">
                  <c:v>-1.6722536503811283</c:v>
                </c:pt>
                <c:pt idx="8">
                  <c:v>-0.80746439223476663</c:v>
                </c:pt>
                <c:pt idx="9">
                  <c:v>-3.5743411708348779E-3</c:v>
                </c:pt>
                <c:pt idx="10">
                  <c:v>-2.0198749999999999</c:v>
                </c:pt>
                <c:pt idx="11">
                  <c:v>-4.1705971185958441</c:v>
                </c:pt>
                <c:pt idx="12">
                  <c:v>-6.4666790193515293</c:v>
                </c:pt>
                <c:pt idx="13">
                  <c:v>-8.1665094852463582</c:v>
                </c:pt>
                <c:pt idx="14">
                  <c:v>-10.603302506170124</c:v>
                </c:pt>
                <c:pt idx="15">
                  <c:v>-12.640024275140153</c:v>
                </c:pt>
                <c:pt idx="16">
                  <c:v>-13.930450567806828</c:v>
                </c:pt>
                <c:pt idx="17">
                  <c:v>-14.689482923460329</c:v>
                </c:pt>
                <c:pt idx="18">
                  <c:v>-14.674822536018389</c:v>
                </c:pt>
                <c:pt idx="19">
                  <c:v>-13.151302910231001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D05-4463-B8B4-EFE1AE46B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160629921259845"/>
                  <c:y val="-0.124929644211140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13252318460192475"/>
                  <c:y val="1.645888013998250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FlxTest10mm_3!$C$7:$L$7</c:f>
              <c:numCache>
                <c:formatCode>General</c:formatCode>
                <c:ptCount val="10"/>
                <c:pt idx="0">
                  <c:v>-41</c:v>
                </c:pt>
                <c:pt idx="1">
                  <c:v>-45</c:v>
                </c:pt>
                <c:pt idx="2">
                  <c:v>-57</c:v>
                </c:pt>
                <c:pt idx="3">
                  <c:v>-63</c:v>
                </c:pt>
                <c:pt idx="4">
                  <c:v>-77</c:v>
                </c:pt>
                <c:pt idx="5">
                  <c:v>-75</c:v>
                </c:pt>
                <c:pt idx="6">
                  <c:v>-80</c:v>
                </c:pt>
                <c:pt idx="7">
                  <c:v>-90</c:v>
                </c:pt>
                <c:pt idx="8">
                  <c:v>-95</c:v>
                </c:pt>
                <c:pt idx="9">
                  <c:v>-105</c:v>
                </c:pt>
              </c:numCache>
            </c:numRef>
          </c:xVal>
          <c:yVal>
            <c:numRef>
              <c:f>FlxTest10mm_3!$C$15:$L$15</c:f>
              <c:numCache>
                <c:formatCode>General</c:formatCode>
                <c:ptCount val="10"/>
                <c:pt idx="0">
                  <c:v>-17.623982271657447</c:v>
                </c:pt>
                <c:pt idx="1">
                  <c:v>-14.312588392743191</c:v>
                </c:pt>
                <c:pt idx="2">
                  <c:v>-10.544115710489031</c:v>
                </c:pt>
                <c:pt idx="3">
                  <c:v>-7.714703040370237</c:v>
                </c:pt>
                <c:pt idx="4">
                  <c:v>-5.2633492521046072</c:v>
                </c:pt>
                <c:pt idx="5">
                  <c:v>-5.0482353303594207</c:v>
                </c:pt>
                <c:pt idx="6">
                  <c:v>-2.8329795466253955</c:v>
                </c:pt>
                <c:pt idx="7">
                  <c:v>-1.807118322254111</c:v>
                </c:pt>
                <c:pt idx="8">
                  <c:v>-1.0285393197546095</c:v>
                </c:pt>
                <c:pt idx="9">
                  <c:v>-0.56161756164602195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1B-4C83-AE53-4FC10967B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510136"/>
        <c:axId val="497510792"/>
      </c:scatterChart>
      <c:valAx>
        <c:axId val="497510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792"/>
        <c:crosses val="autoZero"/>
        <c:crossBetween val="midCat"/>
      </c:valAx>
      <c:valAx>
        <c:axId val="497510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8.5337707786526634E-2"/>
                  <c:y val="-0.46240994367386146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="1" baseline="0">
                        <a:solidFill>
                          <a:schemeClr val="bg1"/>
                        </a:solidFill>
                      </a:rPr>
                      <a:t>y = 0.0001x</a:t>
                    </a:r>
                    <a:r>
                      <a:rPr lang="en-US" b="1" baseline="30000">
                        <a:solidFill>
                          <a:schemeClr val="bg1"/>
                        </a:solidFill>
                      </a:rPr>
                      <a:t>3</a:t>
                    </a:r>
                    <a:r>
                      <a:rPr lang="en-US" b="1" baseline="0">
                        <a:solidFill>
                          <a:schemeClr val="bg1"/>
                        </a:solidFill>
                      </a:rPr>
                      <a:t> + 0.024x</a:t>
                    </a:r>
                    <a:r>
                      <a:rPr lang="en-US" b="1" baseline="30000">
                        <a:solidFill>
                          <a:schemeClr val="bg1"/>
                        </a:solidFill>
                      </a:rPr>
                      <a:t>2</a:t>
                    </a:r>
                    <a:r>
                      <a:rPr lang="en-US" b="1" baseline="0">
                        <a:solidFill>
                          <a:schemeClr val="bg1"/>
                        </a:solidFill>
                      </a:rPr>
                      <a:t> + 0.9144x - 5.9593</a:t>
                    </a:r>
                    <a:br>
                      <a:rPr lang="en-US" b="1" baseline="0">
                        <a:solidFill>
                          <a:schemeClr val="bg1"/>
                        </a:solidFill>
                      </a:rPr>
                    </a:br>
                    <a:r>
                      <a:rPr lang="en-US" b="1" baseline="0">
                        <a:solidFill>
                          <a:schemeClr val="bg1"/>
                        </a:solidFill>
                      </a:rPr>
                      <a:t>R² = 0.9885</a:t>
                    </a:r>
                    <a:endParaRPr lang="en-US" b="1">
                      <a:solidFill>
                        <a:schemeClr val="bg1"/>
                      </a:solidFill>
                    </a:endParaRPr>
                  </a:p>
                </c:rich>
              </c:tx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FlxTest10mm_4!$C$7:$AE$7</c:f>
              <c:numCache>
                <c:formatCode>General</c:formatCode>
                <c:ptCount val="29"/>
                <c:pt idx="0">
                  <c:v>-68.718999999999994</c:v>
                </c:pt>
                <c:pt idx="1">
                  <c:v>-61.898000000000003</c:v>
                </c:pt>
                <c:pt idx="2">
                  <c:v>-54.359000000000002</c:v>
                </c:pt>
                <c:pt idx="3">
                  <c:v>-46.460999999999999</c:v>
                </c:pt>
                <c:pt idx="4">
                  <c:v>-38.204000000000001</c:v>
                </c:pt>
                <c:pt idx="5">
                  <c:v>-32.100999999999999</c:v>
                </c:pt>
                <c:pt idx="6">
                  <c:v>-27.8</c:v>
                </c:pt>
                <c:pt idx="7">
                  <c:v>-24.202999999999999</c:v>
                </c:pt>
                <c:pt idx="8">
                  <c:v>-25.6</c:v>
                </c:pt>
                <c:pt idx="9">
                  <c:v>-16</c:v>
                </c:pt>
                <c:pt idx="10">
                  <c:v>-20.6</c:v>
                </c:pt>
                <c:pt idx="11">
                  <c:v>-70.81</c:v>
                </c:pt>
                <c:pt idx="12">
                  <c:v>-63</c:v>
                </c:pt>
                <c:pt idx="13">
                  <c:v>-53.6</c:v>
                </c:pt>
                <c:pt idx="14">
                  <c:v>-39.280999999999999</c:v>
                </c:pt>
                <c:pt idx="15">
                  <c:v>-29.6</c:v>
                </c:pt>
                <c:pt idx="16">
                  <c:v>-16.3</c:v>
                </c:pt>
                <c:pt idx="17">
                  <c:v>-10.199999999999999</c:v>
                </c:pt>
              </c:numCache>
            </c:numRef>
          </c:xVal>
          <c:yVal>
            <c:numRef>
              <c:f>FlxTest10mm_4!$C$16:$X$16</c:f>
              <c:numCache>
                <c:formatCode>General</c:formatCode>
                <c:ptCount val="22"/>
                <c:pt idx="0">
                  <c:v>-1.9888446022622024</c:v>
                </c:pt>
                <c:pt idx="1">
                  <c:v>-4.2527956349925518</c:v>
                </c:pt>
                <c:pt idx="2">
                  <c:v>-7.3539886035989408</c:v>
                </c:pt>
                <c:pt idx="3">
                  <c:v>-10.527409285407064</c:v>
                </c:pt>
                <c:pt idx="4">
                  <c:v>-13.966402193997661</c:v>
                </c:pt>
                <c:pt idx="5">
                  <c:v>-15.473036951197667</c:v>
                </c:pt>
                <c:pt idx="6">
                  <c:v>-16.445267992387105</c:v>
                </c:pt>
                <c:pt idx="7">
                  <c:v>-17.07325998043143</c:v>
                </c:pt>
                <c:pt idx="8">
                  <c:v>-14.697192119709124</c:v>
                </c:pt>
                <c:pt idx="9">
                  <c:v>-15.358895091501429</c:v>
                </c:pt>
                <c:pt idx="10">
                  <c:v>-15.042937875530633</c:v>
                </c:pt>
                <c:pt idx="11">
                  <c:v>-0.56433407059449248</c:v>
                </c:pt>
                <c:pt idx="12">
                  <c:v>-2.4445410159422072</c:v>
                </c:pt>
                <c:pt idx="13">
                  <c:v>-5.2402184740344895</c:v>
                </c:pt>
                <c:pt idx="14">
                  <c:v>-10.95843156495609</c:v>
                </c:pt>
                <c:pt idx="15">
                  <c:v>-13.902438921694182</c:v>
                </c:pt>
                <c:pt idx="16">
                  <c:v>-16.846155017276384</c:v>
                </c:pt>
                <c:pt idx="17">
                  <c:v>-9.9320795468220986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28-4152-9B9D-F4BE9A57F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21</xdr:row>
      <xdr:rowOff>7937</xdr:rowOff>
    </xdr:from>
    <xdr:to>
      <xdr:col>15</xdr:col>
      <xdr:colOff>131233</xdr:colOff>
      <xdr:row>36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C7558C-2759-4893-8ED1-C65479159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AE4F8-CB26-45EE-8AE1-A64A65EFA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2F7062-A777-4820-B1A6-929596170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845608</xdr:colOff>
      <xdr:row>18</xdr:row>
      <xdr:rowOff>112712</xdr:rowOff>
    </xdr:from>
    <xdr:to>
      <xdr:col>12</xdr:col>
      <xdr:colOff>283633</xdr:colOff>
      <xdr:row>33</xdr:row>
      <xdr:rowOff>141287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861B16-F4D1-4AD0-BE0B-B6E03136E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333375</xdr:colOff>
      <xdr:row>15</xdr:row>
      <xdr:rowOff>114300</xdr:rowOff>
    </xdr:from>
    <xdr:to>
      <xdr:col>9</xdr:col>
      <xdr:colOff>895350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2BB955-9EB7-4ECF-9A69-57F7CE25F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18</xdr:row>
      <xdr:rowOff>19050</xdr:rowOff>
    </xdr:from>
    <xdr:to>
      <xdr:col>12</xdr:col>
      <xdr:colOff>80962</xdr:colOff>
      <xdr:row>32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23110C-BE3D-456E-94CF-ECF1AF42E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282C09-B451-4213-BA14-32757C7725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DDFDBC-593A-4960-B506-B57F628B62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1217-0E3A-4208-858A-CB577BE2F9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CCD51B-781C-4EB5-B685-E11D1219FE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0F6C69-70C1-4E7A-A4D9-2CB56DCB4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D96D25-D710-62E5-8544-989B5550A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9FA640-F8ED-4CD7-A88D-06604D5CF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581025</xdr:colOff>
      <xdr:row>17</xdr:row>
      <xdr:rowOff>74612</xdr:rowOff>
    </xdr:from>
    <xdr:to>
      <xdr:col>14</xdr:col>
      <xdr:colOff>331258</xdr:colOff>
      <xdr:row>35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BDA400-5F04-4953-A0E6-367FC264D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500062</xdr:colOff>
      <xdr:row>15</xdr:row>
      <xdr:rowOff>95250</xdr:rowOff>
    </xdr:from>
    <xdr:to>
      <xdr:col>8</xdr:col>
      <xdr:colOff>528637</xdr:colOff>
      <xdr:row>29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F016FD-8475-49B9-BE00-EEAE24A59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295275</xdr:colOff>
      <xdr:row>18</xdr:row>
      <xdr:rowOff>55562</xdr:rowOff>
    </xdr:from>
    <xdr:to>
      <xdr:col>9</xdr:col>
      <xdr:colOff>600075</xdr:colOff>
      <xdr:row>33</xdr:row>
      <xdr:rowOff>96837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83CC11-D790-13A2-4619-F46E06DD1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en Bolen" id="{10A700E7-E0AC-4B04-B751-E14560120F23}" userId="S::bbolen@pdx.edu::2756ab96-c1b4-4d6e-be6a-ace1ad4a856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" dT="2026-07-17T08:55:32.82" personId="{10A700E7-E0AC-4B04-B751-E14560120F23}" id="{31540696-8989-4ECF-9DA4-105271D5E559}">
    <text>Max contracted length normalized by resting length</text>
  </threadedComment>
  <threadedComment ref="E3" dT="2026-07-17T08:54:37.64" personId="{10A700E7-E0AC-4B04-B751-E14560120F23}" id="{4ABBB369-E711-4E3D-9229-46727333D172}">
    <text>Kmax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29300245-EF40-4E4F-8F6D-1266C425EACE}">
    <text>Recheck after test</text>
  </threadedComment>
  <threadedComment ref="C3" dT="2026-07-18T06:57:43.54" personId="{10A700E7-E0AC-4B04-B751-E14560120F23}" id="{00298076-0747-4A6C-9F96-1B56DD480064}">
    <text>Recheck after test</text>
  </threadedComment>
  <threadedComment ref="D3" dT="2026-07-17T08:55:32.82" personId="{10A700E7-E0AC-4B04-B751-E14560120F23}" id="{BDF31CF8-F642-45F3-81CA-9C8FF04449E8}">
    <text>Max contracted length normalized by resting length</text>
  </threadedComment>
  <threadedComment ref="E3" dT="2026-07-17T08:54:37.64" personId="{10A700E7-E0AC-4B04-B751-E14560120F23}" id="{C8A435E7-474C-41D6-A569-7731B05DEC1C}">
    <text>Kmax</text>
  </threadedComment>
  <threadedComment ref="C4" dT="2026-07-18T06:57:17.11" personId="{10A700E7-E0AC-4B04-B751-E14560120F23}" id="{6E231C95-A9F8-4BE0-A13C-7D1696721C9B}">
    <text>So it can reach -114 degrees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7429FFDB-7320-40ED-9095-CADFEE0453D3}">
    <text>Recheck after test</text>
  </threadedComment>
  <threadedComment ref="C3" dT="2026-07-18T06:57:43.54" personId="{10A700E7-E0AC-4B04-B751-E14560120F23}" id="{56BB9B1E-AE6F-4367-98DA-1738BC17BA33}">
    <text>Recheck after test</text>
  </threadedComment>
  <threadedComment ref="D3" dT="2026-07-17T08:55:32.82" personId="{10A700E7-E0AC-4B04-B751-E14560120F23}" id="{181A90AF-6CB1-444A-AC50-05218AF784A8}">
    <text>Max contracted length normalized by resting length</text>
  </threadedComment>
  <threadedComment ref="E3" dT="2026-07-17T08:54:37.64" personId="{10A700E7-E0AC-4B04-B751-E14560120F23}" id="{E9CB4941-5049-48DD-9386-0FE986486E00}">
    <text>Kmax</text>
  </threadedComment>
  <threadedComment ref="C4" dT="2026-07-18T06:57:17.11" personId="{10A700E7-E0AC-4B04-B751-E14560120F23}" id="{4B24DE55-490A-4648-B1F6-ECBEA4FEDB7F}">
    <text>So it can reach -114 degrees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F99A6D76-844F-423C-8E72-632020492202}">
    <text>Recheck after test</text>
  </threadedComment>
  <threadedComment ref="C3" dT="2026-07-18T06:57:43.54" personId="{10A700E7-E0AC-4B04-B751-E14560120F23}" id="{57404540-41ED-4CFC-A34A-B0C06D36E435}">
    <text>Recheck after test</text>
  </threadedComment>
  <threadedComment ref="D3" dT="2026-07-17T08:55:32.82" personId="{10A700E7-E0AC-4B04-B751-E14560120F23}" id="{FD23BCFD-5D0D-499D-B1BC-4D31A4174384}">
    <text>Max contracted length normalized by resting length</text>
  </threadedComment>
  <threadedComment ref="E3" dT="2026-07-17T08:54:37.64" personId="{10A700E7-E0AC-4B04-B751-E14560120F23}" id="{34C2BEB3-8987-42FD-9240-D19AB0F3395E}">
    <text>Kmax</text>
  </threadedComment>
  <threadedComment ref="C4" dT="2026-07-18T06:57:17.11" personId="{10A700E7-E0AC-4B04-B751-E14560120F23}" id="{619279C5-5896-4658-A891-94E7656E0604}">
    <text>So it can reach -114 degrees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B3DD3E36-DE23-4526-822F-7544076C12AF}">
    <text>Recheck after test</text>
  </threadedComment>
  <threadedComment ref="C3" dT="2026-07-18T06:57:43.54" personId="{10A700E7-E0AC-4B04-B751-E14560120F23}" id="{44F69930-AA26-4737-9556-6F232E8AC193}">
    <text>Recheck after test</text>
  </threadedComment>
  <threadedComment ref="D3" dT="2026-07-17T08:55:32.82" personId="{10A700E7-E0AC-4B04-B751-E14560120F23}" id="{6E9C7D1B-6D13-4A15-A63C-B49E3DDDDD72}">
    <text>Max contracted length normalized by resting length</text>
  </threadedComment>
  <threadedComment ref="E3" dT="2026-07-17T08:54:37.64" personId="{10A700E7-E0AC-4B04-B751-E14560120F23}" id="{A117DFD4-25AF-41A6-9D26-99F7C9197E59}">
    <text>Kmax</text>
  </threadedComment>
  <threadedComment ref="C4" dT="2026-07-18T06:57:17.11" personId="{10A700E7-E0AC-4B04-B751-E14560120F23}" id="{70F2E1CB-BEA3-46AD-8012-48E9D04ADA3E}">
    <text>So it can reach -114 degrees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16.xml"/><Relationship Id="rId4" Type="http://schemas.microsoft.com/office/2017/10/relationships/threadedComment" Target="../threadedComments/threadedComment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896A-0586-4C90-B5FD-474633C66A37}">
  <dimension ref="A1:AJ27"/>
  <sheetViews>
    <sheetView topLeftCell="J1"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18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1</v>
      </c>
      <c r="D6">
        <v>17.081</v>
      </c>
      <c r="E6">
        <v>16.28</v>
      </c>
      <c r="F6">
        <v>15.18</v>
      </c>
      <c r="G6">
        <v>12.961</v>
      </c>
      <c r="H6">
        <v>10.72</v>
      </c>
      <c r="I6">
        <v>5.8838999999999997</v>
      </c>
      <c r="J6">
        <v>4.6440000000000001</v>
      </c>
      <c r="K6">
        <v>1.68</v>
      </c>
      <c r="L6">
        <v>-0.311</v>
      </c>
      <c r="M6">
        <v>2.0739999999999998</v>
      </c>
      <c r="N6">
        <v>4.8476999999999997</v>
      </c>
      <c r="O6">
        <v>8.5419999999999998</v>
      </c>
      <c r="P6">
        <v>12.151</v>
      </c>
      <c r="Q6">
        <v>14.59</v>
      </c>
      <c r="R6">
        <v>16.151</v>
      </c>
      <c r="S6">
        <v>17.783000000000001</v>
      </c>
      <c r="T6">
        <v>18.548999999999999</v>
      </c>
      <c r="U6">
        <v>19.585999999999999</v>
      </c>
      <c r="V6">
        <v>23.167999999999999</v>
      </c>
    </row>
    <row r="7" spans="1:36" x14ac:dyDescent="0.3">
      <c r="B7" s="6" t="s">
        <v>2</v>
      </c>
      <c r="C7">
        <v>-121.5</v>
      </c>
      <c r="D7">
        <v>-108.5</v>
      </c>
      <c r="E7">
        <v>-101.5</v>
      </c>
      <c r="F7">
        <v>-94</v>
      </c>
      <c r="G7">
        <v>-83</v>
      </c>
      <c r="H7">
        <v>-75</v>
      </c>
      <c r="I7">
        <v>-61.5</v>
      </c>
      <c r="J7">
        <v>-65</v>
      </c>
      <c r="K7">
        <v>-32</v>
      </c>
      <c r="L7">
        <v>-18</v>
      </c>
      <c r="M7">
        <v>-32.5</v>
      </c>
      <c r="N7">
        <v>-47.5</v>
      </c>
      <c r="O7">
        <v>-57.5</v>
      </c>
      <c r="P7">
        <v>-69.5</v>
      </c>
      <c r="Q7">
        <v>-80</v>
      </c>
      <c r="R7">
        <v>-90.5</v>
      </c>
      <c r="S7">
        <v>-96.5</v>
      </c>
      <c r="T7">
        <v>-104</v>
      </c>
      <c r="U7">
        <v>-113.5</v>
      </c>
      <c r="V7">
        <v>-123</v>
      </c>
    </row>
    <row r="8" spans="1:36" s="1" customFormat="1" x14ac:dyDescent="0.3">
      <c r="A8" s="11" t="s">
        <v>7</v>
      </c>
      <c r="B8" s="7" t="s">
        <v>12</v>
      </c>
      <c r="C8" s="1">
        <v>93</v>
      </c>
      <c r="D8" s="1">
        <v>93</v>
      </c>
      <c r="E8" s="1">
        <v>93</v>
      </c>
      <c r="F8" s="1">
        <v>93</v>
      </c>
      <c r="G8" s="1">
        <v>93</v>
      </c>
      <c r="H8" s="1">
        <v>93</v>
      </c>
      <c r="I8" s="1">
        <v>82</v>
      </c>
      <c r="J8" s="1">
        <v>82</v>
      </c>
      <c r="K8" s="1">
        <v>82</v>
      </c>
      <c r="L8" s="1">
        <v>80</v>
      </c>
      <c r="M8" s="1">
        <v>80</v>
      </c>
      <c r="N8" s="1">
        <v>80</v>
      </c>
      <c r="O8" s="1">
        <v>90.6</v>
      </c>
      <c r="P8" s="1">
        <v>90.6</v>
      </c>
      <c r="Q8" s="1">
        <v>90.6</v>
      </c>
      <c r="R8" s="1">
        <v>84.4</v>
      </c>
      <c r="S8" s="1">
        <v>84.4</v>
      </c>
      <c r="T8" s="1">
        <v>84.4</v>
      </c>
      <c r="U8" s="1">
        <v>84.4</v>
      </c>
      <c r="V8" s="1">
        <v>84.4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455.5</v>
      </c>
      <c r="D10">
        <v>461</v>
      </c>
      <c r="E10">
        <v>451</v>
      </c>
      <c r="F10">
        <v>451</v>
      </c>
      <c r="G10">
        <v>440</v>
      </c>
      <c r="H10">
        <v>438.5</v>
      </c>
      <c r="I10">
        <v>435</v>
      </c>
      <c r="J10">
        <v>415.5</v>
      </c>
      <c r="K10">
        <v>413</v>
      </c>
      <c r="L10">
        <v>410</v>
      </c>
      <c r="M10">
        <v>409.5</v>
      </c>
      <c r="N10">
        <v>418</v>
      </c>
      <c r="O10">
        <v>426.5</v>
      </c>
      <c r="P10">
        <v>438</v>
      </c>
      <c r="Q10">
        <v>442.5</v>
      </c>
      <c r="R10">
        <v>441.5</v>
      </c>
      <c r="S10">
        <v>450</v>
      </c>
      <c r="T10">
        <v>458.5</v>
      </c>
      <c r="U10" s="2">
        <v>455.5</v>
      </c>
      <c r="V10" s="2">
        <v>463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264</v>
      </c>
      <c r="D12">
        <v>264</v>
      </c>
      <c r="E12">
        <v>264</v>
      </c>
      <c r="F12">
        <v>264</v>
      </c>
      <c r="G12">
        <v>264</v>
      </c>
      <c r="H12">
        <v>264</v>
      </c>
      <c r="I12">
        <v>264</v>
      </c>
      <c r="J12">
        <v>264</v>
      </c>
      <c r="K12">
        <v>264</v>
      </c>
      <c r="L12">
        <v>264</v>
      </c>
      <c r="M12">
        <v>264</v>
      </c>
      <c r="N12">
        <v>264</v>
      </c>
      <c r="O12">
        <v>264</v>
      </c>
      <c r="P12">
        <v>264</v>
      </c>
      <c r="Q12">
        <v>264</v>
      </c>
      <c r="R12">
        <v>264</v>
      </c>
      <c r="S12">
        <v>264</v>
      </c>
      <c r="T12">
        <v>264</v>
      </c>
      <c r="U12">
        <v>264</v>
      </c>
      <c r="V12">
        <v>264</v>
      </c>
      <c r="W12">
        <v>264</v>
      </c>
      <c r="X12">
        <v>264</v>
      </c>
      <c r="Y12">
        <v>264</v>
      </c>
    </row>
    <row r="13" spans="1:36" x14ac:dyDescent="0.3">
      <c r="A13" s="12"/>
      <c r="B13" s="8" t="s">
        <v>11</v>
      </c>
      <c r="C13">
        <v>30.5</v>
      </c>
      <c r="D13">
        <v>41.5</v>
      </c>
      <c r="E13">
        <v>39</v>
      </c>
      <c r="F13">
        <v>35.5</v>
      </c>
      <c r="G13">
        <v>37</v>
      </c>
      <c r="H13">
        <v>40.5</v>
      </c>
      <c r="I13">
        <v>37</v>
      </c>
      <c r="J13">
        <v>46.5</v>
      </c>
      <c r="K13">
        <v>38.5</v>
      </c>
      <c r="L13">
        <v>45.5</v>
      </c>
      <c r="M13">
        <v>36.5</v>
      </c>
      <c r="N13">
        <v>38.5</v>
      </c>
      <c r="O13">
        <v>35</v>
      </c>
      <c r="P13">
        <v>38.5</v>
      </c>
      <c r="Q13">
        <v>36</v>
      </c>
      <c r="R13">
        <v>42</v>
      </c>
      <c r="S13">
        <v>39</v>
      </c>
      <c r="T13">
        <v>36</v>
      </c>
      <c r="U13">
        <v>38</v>
      </c>
      <c r="V13">
        <v>37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0.26363819717520748</v>
      </c>
      <c r="D15">
        <f t="shared" ref="D15:K15" si="1">D6*SIN(RADIANS(D8))*D12/1000</f>
        <v>4.503204045949718</v>
      </c>
      <c r="E15">
        <f t="shared" si="1"/>
        <v>4.292029850012379</v>
      </c>
      <c r="F15">
        <f t="shared" si="1"/>
        <v>4.0020278331196497</v>
      </c>
      <c r="G15">
        <f t="shared" si="1"/>
        <v>3.4170146735878646</v>
      </c>
      <c r="H15">
        <f t="shared" si="1"/>
        <v>2.8262014737182244</v>
      </c>
      <c r="I15">
        <f t="shared" si="1"/>
        <v>1.5382325084724908</v>
      </c>
      <c r="J15">
        <f t="shared" si="1"/>
        <v>1.2140844965662649</v>
      </c>
      <c r="K15">
        <f t="shared" si="1"/>
        <v>0.43920369384826125</v>
      </c>
      <c r="L15">
        <f t="shared" ref="L15:V15" si="2">L6*SIN(RADIANS(L8))*L12/1000</f>
        <v>-8.0856655753314327E-2</v>
      </c>
      <c r="M15">
        <f t="shared" si="2"/>
        <v>0.53921769785329232</v>
      </c>
      <c r="N15">
        <f t="shared" si="2"/>
        <v>1.2603498716892021</v>
      </c>
      <c r="O15">
        <f t="shared" si="2"/>
        <v>2.254964352094134</v>
      </c>
      <c r="P15">
        <f t="shared" si="2"/>
        <v>3.2076881107815294</v>
      </c>
      <c r="Q15">
        <f t="shared" si="2"/>
        <v>3.8515488055553049</v>
      </c>
      <c r="R15">
        <f t="shared" si="2"/>
        <v>4.2435142825961298</v>
      </c>
      <c r="S15">
        <f t="shared" si="2"/>
        <v>4.6723060174235034</v>
      </c>
      <c r="T15">
        <f t="shared" si="2"/>
        <v>4.8735648831574281</v>
      </c>
      <c r="U15">
        <f t="shared" si="2"/>
        <v>5.1460262979956539</v>
      </c>
      <c r="V15">
        <f t="shared" si="2"/>
        <v>6.0871610983336719</v>
      </c>
      <c r="W15">
        <f t="shared" ref="W15:AI15" si="3">W6*-SIN(RADIANS(W8))*W12/1000</f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</row>
    <row r="17" spans="3:24" x14ac:dyDescent="0.3">
      <c r="C17" t="s">
        <v>20</v>
      </c>
    </row>
    <row r="18" spans="3:24" x14ac:dyDescent="0.3">
      <c r="C18">
        <f>C6+4.6262</f>
        <v>5.6261999999999999</v>
      </c>
      <c r="D18">
        <f t="shared" ref="D18:K18" si="4">D6+4.6262</f>
        <v>21.7072</v>
      </c>
      <c r="E18">
        <f t="shared" si="4"/>
        <v>20.906200000000002</v>
      </c>
      <c r="F18">
        <f t="shared" si="4"/>
        <v>19.8062</v>
      </c>
      <c r="G18">
        <f t="shared" si="4"/>
        <v>17.587199999999999</v>
      </c>
      <c r="H18">
        <f t="shared" si="4"/>
        <v>15.3462</v>
      </c>
      <c r="I18">
        <f t="shared" si="4"/>
        <v>10.5101</v>
      </c>
      <c r="J18">
        <f t="shared" si="4"/>
        <v>9.2701999999999991</v>
      </c>
      <c r="K18">
        <f t="shared" si="4"/>
        <v>6.3061999999999996</v>
      </c>
    </row>
    <row r="19" spans="3:24" x14ac:dyDescent="0.3">
      <c r="C19">
        <v>22.176200000000001</v>
      </c>
      <c r="D19">
        <v>21.7072</v>
      </c>
      <c r="E19">
        <v>20.906200000000002</v>
      </c>
      <c r="F19">
        <v>19.8062</v>
      </c>
      <c r="G19">
        <v>17.587199999999999</v>
      </c>
      <c r="H19">
        <v>15.3462</v>
      </c>
      <c r="I19">
        <v>10.5101</v>
      </c>
      <c r="J19">
        <v>9.2701999999999991</v>
      </c>
      <c r="K19">
        <v>6.3061999999999996</v>
      </c>
    </row>
    <row r="20" spans="3:24" x14ac:dyDescent="0.3">
      <c r="C20" t="s">
        <v>45</v>
      </c>
    </row>
    <row r="21" spans="3:24" x14ac:dyDescent="0.3">
      <c r="C21">
        <v>17.55</v>
      </c>
      <c r="D21">
        <v>17.081</v>
      </c>
      <c r="E21">
        <v>16.28</v>
      </c>
      <c r="F21">
        <v>15.18</v>
      </c>
      <c r="G21">
        <v>12.961</v>
      </c>
      <c r="H21">
        <v>10.72</v>
      </c>
      <c r="I21">
        <v>5.8838999999999997</v>
      </c>
      <c r="J21">
        <v>4.6440000000000001</v>
      </c>
      <c r="K21">
        <v>1.68</v>
      </c>
    </row>
    <row r="22" spans="3:24" x14ac:dyDescent="0.3">
      <c r="T22">
        <v>480</v>
      </c>
      <c r="U22">
        <v>470</v>
      </c>
      <c r="V22">
        <v>450</v>
      </c>
      <c r="W22">
        <v>420</v>
      </c>
      <c r="X22">
        <v>405</v>
      </c>
    </row>
    <row r="23" spans="3:24" x14ac:dyDescent="0.3">
      <c r="S23" t="s">
        <v>30</v>
      </c>
      <c r="T23">
        <f>(486-T22)/486</f>
        <v>1.2345679012345678E-2</v>
      </c>
      <c r="U23">
        <f>(486-U22)/486</f>
        <v>3.292181069958848E-2</v>
      </c>
      <c r="V23">
        <f>(486-V22)/486</f>
        <v>7.407407407407407E-2</v>
      </c>
      <c r="W23">
        <f>(486-W22)/486</f>
        <v>0.13580246913580246</v>
      </c>
      <c r="X23">
        <f>(486-X22)/486</f>
        <v>0.16666666666666666</v>
      </c>
    </row>
    <row r="24" spans="3:24" x14ac:dyDescent="0.3">
      <c r="S24" t="s">
        <v>31</v>
      </c>
      <c r="T24">
        <f>T23/$T$27</f>
        <v>7.407407407407407E-2</v>
      </c>
      <c r="U24">
        <f>U23/$T$27</f>
        <v>0.19753086419753088</v>
      </c>
      <c r="V24">
        <f>V23/$T$27</f>
        <v>0.44444444444444442</v>
      </c>
      <c r="W24">
        <f>W23/$T$27</f>
        <v>0.81481481481481477</v>
      </c>
      <c r="X24">
        <f>X23/$T$27</f>
        <v>1</v>
      </c>
    </row>
    <row r="27" spans="3:24" x14ac:dyDescent="0.3">
      <c r="S27" t="s">
        <v>32</v>
      </c>
      <c r="T27">
        <f xml:space="preserve"> (486-405)/486</f>
        <v>0.16666666666666666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1208C-7CDD-421F-9FF0-096EE144B4F3}">
  <dimension ref="A1:AJ15"/>
  <sheetViews>
    <sheetView topLeftCell="P1"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457</v>
      </c>
      <c r="F2" t="s">
        <v>22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380</v>
      </c>
      <c r="D4">
        <f>1-C4/C2</f>
        <v>0.16849015317286653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23.123999999999999</v>
      </c>
      <c r="D6">
        <v>22.821999999999999</v>
      </c>
      <c r="E6">
        <v>22.417999999999999</v>
      </c>
      <c r="F6">
        <v>22.584</v>
      </c>
      <c r="G6">
        <v>23.396999999999998</v>
      </c>
      <c r="H6">
        <v>21.117000000000001</v>
      </c>
      <c r="I6">
        <v>18.875</v>
      </c>
      <c r="J6">
        <v>17.254999999999999</v>
      </c>
      <c r="K6">
        <v>15.285</v>
      </c>
      <c r="L6">
        <v>11.97</v>
      </c>
      <c r="M6">
        <v>9.6539999999999999</v>
      </c>
      <c r="N6">
        <v>7.9669999999999996</v>
      </c>
      <c r="O6">
        <v>6.6920000000000002</v>
      </c>
      <c r="P6">
        <v>2.9020000000000001</v>
      </c>
      <c r="Q6">
        <v>1.1599999999999999</v>
      </c>
      <c r="R6">
        <v>-0.215</v>
      </c>
      <c r="S6">
        <v>2.0099999999999998</v>
      </c>
      <c r="T6">
        <v>8.6850000000000005</v>
      </c>
      <c r="U6">
        <v>11.27</v>
      </c>
      <c r="V6">
        <v>13.627000000000001</v>
      </c>
      <c r="W6">
        <v>15.065</v>
      </c>
      <c r="X6">
        <v>17.838999999999999</v>
      </c>
      <c r="Y6">
        <v>19.927</v>
      </c>
      <c r="Z6">
        <v>21.132000000000001</v>
      </c>
      <c r="AA6">
        <v>22.739000000000001</v>
      </c>
      <c r="AB6">
        <v>23.741</v>
      </c>
      <c r="AC6">
        <v>24.338999999999999</v>
      </c>
      <c r="AD6">
        <v>25.221</v>
      </c>
      <c r="AE6">
        <v>24.667000000000002</v>
      </c>
    </row>
    <row r="7" spans="1:36" x14ac:dyDescent="0.3">
      <c r="B7" s="6" t="s">
        <v>2</v>
      </c>
      <c r="C7">
        <v>-125</v>
      </c>
      <c r="D7">
        <v>-120.5</v>
      </c>
      <c r="E7">
        <v>-115</v>
      </c>
      <c r="F7">
        <v>-111.5</v>
      </c>
      <c r="G7">
        <v>-108</v>
      </c>
      <c r="H7">
        <v>-101.5</v>
      </c>
      <c r="I7">
        <v>-88</v>
      </c>
      <c r="J7">
        <v>-80</v>
      </c>
      <c r="K7">
        <v>-71</v>
      </c>
      <c r="L7">
        <v>-58</v>
      </c>
      <c r="M7">
        <v>-40</v>
      </c>
      <c r="N7">
        <v>-32</v>
      </c>
      <c r="O7">
        <v>-17.5</v>
      </c>
      <c r="P7">
        <v>-10.5</v>
      </c>
      <c r="Q7">
        <v>-4</v>
      </c>
      <c r="R7">
        <v>2</v>
      </c>
      <c r="S7">
        <v>-3.5</v>
      </c>
      <c r="T7">
        <v>-16</v>
      </c>
      <c r="U7">
        <v>-33.5</v>
      </c>
      <c r="V7">
        <v>-48</v>
      </c>
      <c r="W7">
        <v>-58.5</v>
      </c>
      <c r="X7">
        <v>-72</v>
      </c>
      <c r="Y7">
        <v>-80</v>
      </c>
      <c r="Z7">
        <v>-85</v>
      </c>
      <c r="AA7">
        <v>-88.5</v>
      </c>
      <c r="AB7">
        <v>-99.5</v>
      </c>
      <c r="AC7">
        <v>-111.5</v>
      </c>
      <c r="AD7">
        <v>-114.5</v>
      </c>
      <c r="AE7">
        <v>-123</v>
      </c>
    </row>
    <row r="8" spans="1:36" s="1" customFormat="1" x14ac:dyDescent="0.3">
      <c r="A8" s="11" t="s">
        <v>7</v>
      </c>
      <c r="B8" s="7" t="s">
        <v>12</v>
      </c>
      <c r="C8" s="1">
        <v>87.6</v>
      </c>
      <c r="D8" s="1">
        <v>85.3</v>
      </c>
      <c r="E8" s="1">
        <v>81.3</v>
      </c>
      <c r="F8" s="1">
        <v>82.9</v>
      </c>
      <c r="G8" s="1">
        <v>84.7</v>
      </c>
      <c r="H8" s="1">
        <v>81.8</v>
      </c>
      <c r="I8" s="1">
        <v>81.3</v>
      </c>
      <c r="J8" s="1">
        <v>81.8</v>
      </c>
      <c r="K8" s="1">
        <v>84.1</v>
      </c>
      <c r="L8" s="1">
        <v>81</v>
      </c>
      <c r="M8" s="1">
        <v>84.4</v>
      </c>
      <c r="N8" s="1">
        <v>89.5</v>
      </c>
      <c r="O8" s="1">
        <v>88.1</v>
      </c>
      <c r="P8" s="1">
        <v>91</v>
      </c>
      <c r="Q8" s="1">
        <v>90.7</v>
      </c>
      <c r="R8" s="1">
        <v>94</v>
      </c>
      <c r="S8" s="1">
        <v>92.7</v>
      </c>
      <c r="T8" s="1">
        <v>90.8</v>
      </c>
      <c r="U8" s="1">
        <v>83.6</v>
      </c>
      <c r="V8" s="1">
        <v>83.3</v>
      </c>
      <c r="W8" s="1">
        <v>83.9</v>
      </c>
      <c r="X8" s="1">
        <v>84.1</v>
      </c>
      <c r="Y8" s="1">
        <v>84</v>
      </c>
      <c r="Z8" s="1">
        <v>80</v>
      </c>
      <c r="AA8" s="1">
        <v>83.2</v>
      </c>
      <c r="AB8" s="1">
        <v>85.4</v>
      </c>
      <c r="AC8" s="1">
        <v>80.900000000000006</v>
      </c>
      <c r="AD8" s="1">
        <v>82</v>
      </c>
      <c r="AE8" s="1">
        <v>81.400000000000006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453.5</v>
      </c>
      <c r="D10">
        <v>452</v>
      </c>
      <c r="E10">
        <v>456</v>
      </c>
      <c r="F10">
        <v>450.5</v>
      </c>
      <c r="G10">
        <v>449.5</v>
      </c>
      <c r="H10">
        <v>442.5</v>
      </c>
      <c r="I10">
        <v>439</v>
      </c>
      <c r="J10">
        <v>435</v>
      </c>
      <c r="K10">
        <v>422.5</v>
      </c>
      <c r="L10">
        <v>420</v>
      </c>
      <c r="M10">
        <v>410.5</v>
      </c>
      <c r="N10">
        <v>398.5</v>
      </c>
      <c r="O10">
        <v>400.5</v>
      </c>
      <c r="P10">
        <v>395</v>
      </c>
      <c r="Q10">
        <v>384</v>
      </c>
      <c r="R10">
        <v>381</v>
      </c>
      <c r="S10">
        <v>382</v>
      </c>
      <c r="T10">
        <v>394</v>
      </c>
      <c r="U10" s="2">
        <v>408.5</v>
      </c>
      <c r="V10" s="2">
        <v>414.5</v>
      </c>
      <c r="W10" s="2">
        <v>420.5</v>
      </c>
      <c r="X10" s="2">
        <v>425</v>
      </c>
      <c r="Y10" s="2">
        <v>427</v>
      </c>
      <c r="Z10" s="2">
        <v>432</v>
      </c>
      <c r="AA10" s="2">
        <v>438</v>
      </c>
      <c r="AB10" s="2">
        <v>438</v>
      </c>
      <c r="AC10" s="2">
        <v>441</v>
      </c>
      <c r="AD10" s="2">
        <v>445</v>
      </c>
      <c r="AE10" s="2">
        <v>447</v>
      </c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29.5</v>
      </c>
      <c r="D13">
        <v>30</v>
      </c>
      <c r="E13">
        <v>30</v>
      </c>
      <c r="F13">
        <v>29.5</v>
      </c>
      <c r="G13">
        <v>30.5</v>
      </c>
      <c r="H13">
        <v>30</v>
      </c>
      <c r="I13">
        <v>30</v>
      </c>
      <c r="J13">
        <v>32.5</v>
      </c>
      <c r="K13">
        <v>34</v>
      </c>
      <c r="L13">
        <v>35</v>
      </c>
      <c r="M13">
        <v>37</v>
      </c>
      <c r="N13">
        <v>38.5</v>
      </c>
      <c r="O13">
        <v>44.5</v>
      </c>
      <c r="P13">
        <v>50</v>
      </c>
      <c r="Q13">
        <v>54</v>
      </c>
      <c r="R13">
        <v>60</v>
      </c>
      <c r="S13">
        <v>55</v>
      </c>
      <c r="T13">
        <v>48</v>
      </c>
      <c r="U13">
        <v>34.5</v>
      </c>
      <c r="V13">
        <v>33</v>
      </c>
      <c r="W13">
        <v>32.5</v>
      </c>
      <c r="X13">
        <v>31.5</v>
      </c>
      <c r="Y13">
        <v>30</v>
      </c>
      <c r="Z13">
        <v>30</v>
      </c>
      <c r="AA13">
        <v>30</v>
      </c>
      <c r="AB13">
        <v>30</v>
      </c>
      <c r="AC13">
        <v>30</v>
      </c>
      <c r="AD13">
        <v>30</v>
      </c>
      <c r="AE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6.1686922582960024</v>
      </c>
      <c r="D15">
        <f t="shared" ref="D15:AI15" si="1">D6*SIN(RADIANS(D8))*D12/1000</f>
        <v>6.0729840040036489</v>
      </c>
      <c r="E15">
        <f t="shared" si="1"/>
        <v>5.9167349398453775</v>
      </c>
      <c r="F15">
        <f t="shared" si="1"/>
        <v>5.983690137549968</v>
      </c>
      <c r="G15">
        <f t="shared" si="1"/>
        <v>6.2202911938343854</v>
      </c>
      <c r="H15">
        <f t="shared" si="1"/>
        <v>5.5805949463773015</v>
      </c>
      <c r="I15">
        <f t="shared" si="1"/>
        <v>4.9816385043082114</v>
      </c>
      <c r="J15">
        <f t="shared" si="1"/>
        <v>4.5599832267718101</v>
      </c>
      <c r="K15">
        <f t="shared" si="1"/>
        <v>4.0594766934228144</v>
      </c>
      <c r="L15">
        <f t="shared" si="1"/>
        <v>3.1566420596586546</v>
      </c>
      <c r="M15">
        <f t="shared" si="1"/>
        <v>2.5653160602863676</v>
      </c>
      <c r="N15">
        <f t="shared" si="1"/>
        <v>2.1271080031609513</v>
      </c>
      <c r="O15">
        <f t="shared" si="1"/>
        <v>1.7857816656369578</v>
      </c>
      <c r="P15">
        <f t="shared" si="1"/>
        <v>0.77471598902880734</v>
      </c>
      <c r="Q15">
        <f t="shared" si="1"/>
        <v>0.30969688549123514</v>
      </c>
      <c r="R15">
        <f t="shared" si="1"/>
        <v>-5.7265164305165206E-2</v>
      </c>
      <c r="S15">
        <f t="shared" si="1"/>
        <v>0.53607422919584036</v>
      </c>
      <c r="T15">
        <f t="shared" si="1"/>
        <v>2.3186689634125557</v>
      </c>
      <c r="U15">
        <f t="shared" si="1"/>
        <v>2.9903371078669587</v>
      </c>
      <c r="V15">
        <f t="shared" si="1"/>
        <v>3.6135610298166738</v>
      </c>
      <c r="W15">
        <f t="shared" si="1"/>
        <v>3.9995802012739166</v>
      </c>
      <c r="X15">
        <f t="shared" si="1"/>
        <v>4.7377824490657234</v>
      </c>
      <c r="Y15">
        <f t="shared" si="1"/>
        <v>5.2913626950039561</v>
      </c>
      <c r="Z15">
        <f t="shared" si="1"/>
        <v>5.5565256355866133</v>
      </c>
      <c r="AA15">
        <f t="shared" si="1"/>
        <v>6.0286043979188237</v>
      </c>
      <c r="AB15">
        <f t="shared" si="1"/>
        <v>6.3184288033657463</v>
      </c>
      <c r="AC15">
        <f t="shared" si="1"/>
        <v>6.4167214595502848</v>
      </c>
      <c r="AD15">
        <f t="shared" si="1"/>
        <v>6.6684721067822155</v>
      </c>
      <c r="AE15">
        <f t="shared" si="1"/>
        <v>6.5120375248934952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8201-A5D3-4826-B613-98BAA3DB341B}">
  <dimension ref="A1:AJ15"/>
  <sheetViews>
    <sheetView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21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  <c r="D4">
        <f>1-398/486</f>
        <v>0.18106995884773658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26.594999999999999</v>
      </c>
      <c r="D6">
        <v>17.887</v>
      </c>
      <c r="E6">
        <v>16.504000000000001</v>
      </c>
      <c r="F6">
        <v>13.111000000000001</v>
      </c>
    </row>
    <row r="7" spans="1:36" x14ac:dyDescent="0.3">
      <c r="B7" s="6" t="s">
        <v>2</v>
      </c>
      <c r="C7">
        <v>-123</v>
      </c>
      <c r="D7">
        <v>-119</v>
      </c>
      <c r="E7">
        <v>-106</v>
      </c>
      <c r="F7">
        <v>-92</v>
      </c>
    </row>
    <row r="8" spans="1:36" s="1" customFormat="1" x14ac:dyDescent="0.3">
      <c r="A8" s="11" t="s">
        <v>7</v>
      </c>
      <c r="B8" s="7" t="s">
        <v>12</v>
      </c>
      <c r="C8" s="1">
        <v>81</v>
      </c>
      <c r="D8" s="1">
        <v>82</v>
      </c>
      <c r="E8" s="1">
        <v>80.5</v>
      </c>
      <c r="F8" s="1">
        <v>80.7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459</v>
      </c>
      <c r="D10">
        <v>456</v>
      </c>
      <c r="E10">
        <v>447</v>
      </c>
      <c r="F10">
        <v>438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30</v>
      </c>
      <c r="D13">
        <v>30</v>
      </c>
      <c r="E13">
        <v>30</v>
      </c>
      <c r="F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7.0134415686400926</v>
      </c>
      <c r="D15">
        <f t="shared" ref="D15:AI15" si="1">D6*SIN(RADIANS(D8))*D12/1000</f>
        <v>4.7293509604699846</v>
      </c>
      <c r="E15">
        <f t="shared" si="1"/>
        <v>4.3461345705947148</v>
      </c>
      <c r="F15">
        <f t="shared" si="1"/>
        <v>3.4546236345151771</v>
      </c>
      <c r="G15">
        <f t="shared" si="1"/>
        <v>0</v>
      </c>
      <c r="H15">
        <f t="shared" si="1"/>
        <v>0</v>
      </c>
      <c r="I15">
        <f t="shared" si="1"/>
        <v>0</v>
      </c>
      <c r="J15">
        <f t="shared" si="1"/>
        <v>0</v>
      </c>
      <c r="K15">
        <f t="shared" si="1"/>
        <v>0</v>
      </c>
      <c r="L15">
        <f t="shared" si="1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E524-5F19-4B4B-B21A-C95F2596B6A0}">
  <dimension ref="A1:AJ27"/>
  <sheetViews>
    <sheetView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415</v>
      </c>
      <c r="F2" t="s">
        <v>18</v>
      </c>
    </row>
    <row r="3" spans="1:36" x14ac:dyDescent="0.3">
      <c r="B3" s="3" t="s">
        <v>14</v>
      </c>
      <c r="C3">
        <f>C2-C2*0.17</f>
        <v>344.45</v>
      </c>
      <c r="F3" t="s">
        <v>28</v>
      </c>
    </row>
    <row r="4" spans="1:36" x14ac:dyDescent="0.3">
      <c r="B4" s="3" t="s">
        <v>17</v>
      </c>
      <c r="C4">
        <v>349</v>
      </c>
      <c r="D4">
        <f>1-C4/C2</f>
        <v>0.15903614457831328</v>
      </c>
      <c r="U4" t="s">
        <v>16</v>
      </c>
      <c r="AB4" t="s">
        <v>24</v>
      </c>
      <c r="AC4" t="s">
        <v>26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31.943000000000001</v>
      </c>
      <c r="D6">
        <v>28.574000000000002</v>
      </c>
      <c r="E6">
        <v>24.861999999999998</v>
      </c>
      <c r="F6">
        <v>22.024999999999999</v>
      </c>
      <c r="G6">
        <v>23.048999999999999</v>
      </c>
      <c r="H6">
        <v>26.611999999999998</v>
      </c>
      <c r="I6">
        <v>23.187999999999999</v>
      </c>
      <c r="J6">
        <v>24.088000000000001</v>
      </c>
      <c r="K6">
        <v>22.393999999999998</v>
      </c>
      <c r="L6">
        <v>22.852</v>
      </c>
      <c r="M6">
        <v>22.265999999999998</v>
      </c>
      <c r="N6">
        <v>19.311</v>
      </c>
      <c r="O6">
        <v>17.440000000000001</v>
      </c>
      <c r="P6">
        <v>13.32</v>
      </c>
      <c r="Q6">
        <v>10.851000000000001</v>
      </c>
      <c r="R6">
        <v>6.944</v>
      </c>
      <c r="S6">
        <v>1.194</v>
      </c>
      <c r="T6">
        <v>6.7211999999999996</v>
      </c>
      <c r="U6">
        <v>12.542</v>
      </c>
      <c r="V6">
        <v>20.151</v>
      </c>
      <c r="W6">
        <v>25.43</v>
      </c>
      <c r="X6">
        <v>25.536999999999999</v>
      </c>
      <c r="Y6">
        <v>28.138000000000002</v>
      </c>
      <c r="Z6">
        <v>29.704000000000001</v>
      </c>
      <c r="AA6">
        <v>30.516999999999999</v>
      </c>
      <c r="AB6">
        <v>33.405999999999999</v>
      </c>
      <c r="AC6">
        <v>33.061999999999998</v>
      </c>
    </row>
    <row r="7" spans="1:36" x14ac:dyDescent="0.3">
      <c r="B7" s="6" t="s">
        <v>2</v>
      </c>
      <c r="C7">
        <v>-76.5</v>
      </c>
      <c r="D7">
        <v>-69</v>
      </c>
      <c r="E7">
        <v>-51.5</v>
      </c>
      <c r="F7">
        <v>-40.5</v>
      </c>
      <c r="G7">
        <v>-39.5</v>
      </c>
      <c r="H7">
        <v>-55.5</v>
      </c>
      <c r="I7">
        <v>-35</v>
      </c>
      <c r="J7">
        <v>-25.5</v>
      </c>
      <c r="K7">
        <v>-20</v>
      </c>
      <c r="L7">
        <v>-12.5</v>
      </c>
      <c r="M7">
        <v>-5</v>
      </c>
      <c r="N7">
        <v>0.5</v>
      </c>
      <c r="O7">
        <v>4</v>
      </c>
      <c r="P7">
        <v>12.5</v>
      </c>
      <c r="Q7">
        <v>20</v>
      </c>
      <c r="R7">
        <v>28</v>
      </c>
      <c r="S7">
        <v>35</v>
      </c>
      <c r="T7">
        <v>23</v>
      </c>
      <c r="U7">
        <v>20</v>
      </c>
      <c r="V7">
        <v>11</v>
      </c>
      <c r="W7">
        <v>1</v>
      </c>
      <c r="X7">
        <v>-16</v>
      </c>
      <c r="Y7">
        <v>-24</v>
      </c>
      <c r="Z7">
        <v>-44</v>
      </c>
      <c r="AA7">
        <v>-53.4</v>
      </c>
      <c r="AB7">
        <v>-66</v>
      </c>
    </row>
    <row r="8" spans="1:36" s="1" customFormat="1" x14ac:dyDescent="0.3">
      <c r="A8" s="11" t="s">
        <v>7</v>
      </c>
      <c r="B8" s="7" t="s">
        <v>12</v>
      </c>
      <c r="C8" s="1">
        <v>85.7</v>
      </c>
      <c r="D8" s="1">
        <v>81.2</v>
      </c>
      <c r="E8" s="1">
        <v>85.7</v>
      </c>
      <c r="F8" s="1">
        <v>82.9</v>
      </c>
      <c r="G8" s="1">
        <v>84</v>
      </c>
      <c r="H8" s="1">
        <v>80.400000000000006</v>
      </c>
      <c r="I8" s="1">
        <v>86.3</v>
      </c>
      <c r="J8" s="1">
        <v>83.6</v>
      </c>
      <c r="K8" s="1">
        <v>86.5</v>
      </c>
      <c r="L8" s="1">
        <v>88.4</v>
      </c>
      <c r="M8" s="1">
        <v>87.1</v>
      </c>
      <c r="N8" s="1">
        <v>71.2</v>
      </c>
      <c r="O8" s="1">
        <v>70</v>
      </c>
      <c r="P8" s="1">
        <v>72.3</v>
      </c>
      <c r="Q8" s="1">
        <v>74.8</v>
      </c>
      <c r="R8" s="1">
        <v>71.5</v>
      </c>
      <c r="S8" s="1">
        <v>74.2</v>
      </c>
      <c r="T8" s="1">
        <v>74.099999999999994</v>
      </c>
      <c r="U8" s="1">
        <v>73.099999999999994</v>
      </c>
      <c r="V8" s="1">
        <v>73</v>
      </c>
      <c r="W8" s="1">
        <v>68.2</v>
      </c>
      <c r="X8" s="1">
        <v>90.7</v>
      </c>
      <c r="Y8" s="1">
        <v>89.1</v>
      </c>
      <c r="Z8" s="1">
        <v>86</v>
      </c>
      <c r="AA8" s="1">
        <v>84.5</v>
      </c>
      <c r="AB8" s="1">
        <v>83.5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413.5</v>
      </c>
      <c r="D10">
        <v>405.5</v>
      </c>
      <c r="E10">
        <v>402</v>
      </c>
      <c r="F10">
        <v>400</v>
      </c>
      <c r="G10">
        <v>403</v>
      </c>
      <c r="H10">
        <v>412</v>
      </c>
      <c r="I10">
        <v>401</v>
      </c>
      <c r="J10">
        <v>398</v>
      </c>
      <c r="K10">
        <v>392.5</v>
      </c>
      <c r="L10">
        <v>385</v>
      </c>
      <c r="M10">
        <v>385.5</v>
      </c>
      <c r="N10">
        <v>371.5</v>
      </c>
      <c r="O10">
        <v>365</v>
      </c>
      <c r="P10">
        <v>361</v>
      </c>
      <c r="Q10">
        <v>356</v>
      </c>
      <c r="R10">
        <v>355</v>
      </c>
      <c r="S10">
        <v>346</v>
      </c>
      <c r="T10">
        <v>348</v>
      </c>
      <c r="U10" s="2">
        <v>354</v>
      </c>
      <c r="V10" s="2">
        <v>365</v>
      </c>
      <c r="W10" s="2">
        <v>376</v>
      </c>
      <c r="X10" s="2">
        <v>398</v>
      </c>
      <c r="Y10" s="2">
        <v>395</v>
      </c>
      <c r="Z10" s="2">
        <v>400</v>
      </c>
      <c r="AA10" s="2">
        <v>407</v>
      </c>
      <c r="AB10" s="2">
        <v>413</v>
      </c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28</v>
      </c>
      <c r="D13">
        <v>30.5</v>
      </c>
      <c r="E13">
        <v>31.5</v>
      </c>
      <c r="F13">
        <v>31</v>
      </c>
      <c r="G13">
        <v>32</v>
      </c>
      <c r="H13">
        <v>31</v>
      </c>
      <c r="I13">
        <v>35</v>
      </c>
      <c r="J13">
        <v>32</v>
      </c>
      <c r="K13">
        <v>41</v>
      </c>
      <c r="L13">
        <v>44.5</v>
      </c>
      <c r="M13">
        <v>45.5</v>
      </c>
      <c r="N13">
        <v>55.5</v>
      </c>
      <c r="O13">
        <v>66.5</v>
      </c>
      <c r="P13">
        <v>62</v>
      </c>
      <c r="Q13">
        <v>65</v>
      </c>
      <c r="R13">
        <v>68.5</v>
      </c>
      <c r="S13">
        <v>71</v>
      </c>
      <c r="T13">
        <v>67</v>
      </c>
      <c r="U13">
        <v>60</v>
      </c>
      <c r="V13">
        <v>55</v>
      </c>
      <c r="W13">
        <v>55</v>
      </c>
      <c r="X13">
        <v>42</v>
      </c>
      <c r="Y13">
        <v>38</v>
      </c>
      <c r="Z13">
        <v>31</v>
      </c>
      <c r="AA13">
        <v>29</v>
      </c>
      <c r="AB13">
        <v>28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8.5047736202914699</v>
      </c>
      <c r="D15">
        <f>D6*SIN(RADIANS(D8))*D12/1000</f>
        <v>7.5394492849781658</v>
      </c>
      <c r="E15">
        <f t="shared" ref="E15:AI15" si="1">E6*SIN(RADIANS(E8))*E12/1000</f>
        <v>6.6194684828502801</v>
      </c>
      <c r="F15">
        <f t="shared" si="1"/>
        <v>5.8355816188247456</v>
      </c>
      <c r="G15">
        <f t="shared" si="1"/>
        <v>6.1203702894136685</v>
      </c>
      <c r="H15">
        <f t="shared" si="1"/>
        <v>7.0059001857849141</v>
      </c>
      <c r="I15">
        <f t="shared" si="1"/>
        <v>6.1782911841842409</v>
      </c>
      <c r="J15">
        <f t="shared" si="1"/>
        <v>6.391414397009699</v>
      </c>
      <c r="K15">
        <f t="shared" si="1"/>
        <v>5.9680455904544294</v>
      </c>
      <c r="L15">
        <f t="shared" si="1"/>
        <v>6.0991051231568809</v>
      </c>
      <c r="M15">
        <f t="shared" si="1"/>
        <v>5.937408550285844</v>
      </c>
      <c r="N15">
        <f t="shared" si="1"/>
        <v>4.880958611179155</v>
      </c>
      <c r="O15">
        <f t="shared" si="1"/>
        <v>4.3756598948371668</v>
      </c>
      <c r="P15">
        <f t="shared" si="1"/>
        <v>3.388083398389504</v>
      </c>
      <c r="Q15">
        <f t="shared" si="1"/>
        <v>2.7958621930655867</v>
      </c>
      <c r="R15">
        <f t="shared" si="1"/>
        <v>1.7582375762877434</v>
      </c>
      <c r="S15">
        <f t="shared" si="1"/>
        <v>0.30675317190114915</v>
      </c>
      <c r="T15">
        <f t="shared" si="1"/>
        <v>1.7259028691611564</v>
      </c>
      <c r="U15">
        <f t="shared" si="1"/>
        <v>3.2040950443238865</v>
      </c>
      <c r="V15">
        <f t="shared" si="1"/>
        <v>5.1452227356887708</v>
      </c>
      <c r="W15">
        <f t="shared" si="1"/>
        <v>6.3042423522142954</v>
      </c>
      <c r="X15">
        <f t="shared" si="1"/>
        <v>6.8178701420600625</v>
      </c>
      <c r="Y15">
        <f t="shared" si="1"/>
        <v>7.5119191588333143</v>
      </c>
      <c r="Z15">
        <f t="shared" si="1"/>
        <v>7.9116485605610567</v>
      </c>
      <c r="AA15">
        <f t="shared" si="1"/>
        <v>8.1105270447475082</v>
      </c>
      <c r="AB15">
        <f t="shared" si="1"/>
        <v>8.8620667966654647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U16" t="s">
        <v>23</v>
      </c>
      <c r="AB16" t="s">
        <v>25</v>
      </c>
    </row>
    <row r="17" spans="17:29" x14ac:dyDescent="0.3">
      <c r="AB17">
        <v>2.2241</v>
      </c>
    </row>
    <row r="18" spans="17:29" x14ac:dyDescent="0.3">
      <c r="AC18" t="s">
        <v>27</v>
      </c>
    </row>
    <row r="24" spans="17:29" x14ac:dyDescent="0.3">
      <c r="Q24" t="s">
        <v>44</v>
      </c>
    </row>
    <row r="25" spans="17:29" x14ac:dyDescent="0.3">
      <c r="Q25" t="s">
        <v>42</v>
      </c>
      <c r="R25">
        <v>630</v>
      </c>
      <c r="S25">
        <v>-1.4999999999999999E-2</v>
      </c>
    </row>
    <row r="26" spans="17:29" x14ac:dyDescent="0.3">
      <c r="Q26" t="s">
        <v>43</v>
      </c>
      <c r="R26">
        <v>-1.4999999999999999E-2</v>
      </c>
      <c r="S26">
        <v>0</v>
      </c>
    </row>
    <row r="27" spans="17:29" x14ac:dyDescent="0.3">
      <c r="R27">
        <v>505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C766-4925-4D35-B304-44784D2D9843}">
  <dimension ref="A1:Q16"/>
  <sheetViews>
    <sheetView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38</v>
      </c>
    </row>
    <row r="2" spans="1:17" x14ac:dyDescent="0.3">
      <c r="A2" s="3" t="s">
        <v>5</v>
      </c>
      <c r="C2">
        <v>415</v>
      </c>
      <c r="E2" t="s">
        <v>37</v>
      </c>
    </row>
    <row r="3" spans="1:17" x14ac:dyDescent="0.3">
      <c r="A3" s="3" t="s">
        <v>36</v>
      </c>
      <c r="C3">
        <v>350</v>
      </c>
    </row>
    <row r="4" spans="1:17" x14ac:dyDescent="0.3">
      <c r="A4" s="3" t="s">
        <v>35</v>
      </c>
      <c r="C4" t="s">
        <v>40</v>
      </c>
      <c r="L4" t="s">
        <v>16</v>
      </c>
    </row>
    <row r="5" spans="1:17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1</v>
      </c>
      <c r="C6">
        <v>16.523</v>
      </c>
      <c r="D6">
        <v>15.112</v>
      </c>
      <c r="E6">
        <v>14.148999999999999</v>
      </c>
      <c r="F6">
        <v>13.564</v>
      </c>
      <c r="G6">
        <v>12.457000000000001</v>
      </c>
      <c r="H6">
        <v>11.634</v>
      </c>
      <c r="I6">
        <v>11.49</v>
      </c>
      <c r="J6">
        <v>11.263999999999999</v>
      </c>
      <c r="K6">
        <v>10.896000000000001</v>
      </c>
      <c r="L6">
        <v>9.6492000000000004</v>
      </c>
      <c r="M6">
        <v>6.7404000000000002</v>
      </c>
      <c r="N6">
        <v>1.5812999999999999</v>
      </c>
      <c r="O6">
        <v>7.0465</v>
      </c>
      <c r="P6">
        <v>6.2092000000000001</v>
      </c>
    </row>
    <row r="7" spans="1:17" x14ac:dyDescent="0.3">
      <c r="B7" s="6" t="s">
        <v>2</v>
      </c>
      <c r="C7">
        <v>-120</v>
      </c>
      <c r="D7">
        <v>-109</v>
      </c>
      <c r="E7">
        <v>-101</v>
      </c>
      <c r="F7">
        <v>-97</v>
      </c>
      <c r="G7">
        <v>-89</v>
      </c>
      <c r="H7">
        <v>-87</v>
      </c>
      <c r="I7">
        <v>-81.5</v>
      </c>
      <c r="J7">
        <v>-75</v>
      </c>
      <c r="K7">
        <v>-74</v>
      </c>
      <c r="L7">
        <v>-59.5</v>
      </c>
      <c r="M7">
        <v>-48.5</v>
      </c>
      <c r="N7">
        <v>-3</v>
      </c>
      <c r="O7">
        <v>-30</v>
      </c>
      <c r="P7">
        <v>-18.5</v>
      </c>
    </row>
    <row r="8" spans="1:17" s="1" customFormat="1" x14ac:dyDescent="0.3">
      <c r="A8" s="11" t="s">
        <v>7</v>
      </c>
      <c r="B8" s="7" t="s">
        <v>34</v>
      </c>
      <c r="C8" s="1">
        <v>77.8</v>
      </c>
      <c r="D8" s="1">
        <v>80.8</v>
      </c>
      <c r="E8" s="1">
        <v>82.3</v>
      </c>
      <c r="F8" s="1">
        <v>80.7</v>
      </c>
      <c r="G8" s="1">
        <v>80.8</v>
      </c>
      <c r="H8" s="1">
        <v>78.3</v>
      </c>
      <c r="I8" s="1">
        <v>82.5</v>
      </c>
      <c r="J8" s="1">
        <v>80.400000000000006</v>
      </c>
      <c r="K8" s="1">
        <v>79.400000000000006</v>
      </c>
      <c r="L8" s="1">
        <v>81.400000000000006</v>
      </c>
      <c r="M8" s="1">
        <v>86.8</v>
      </c>
      <c r="N8" s="1">
        <v>90.8</v>
      </c>
      <c r="O8" s="1">
        <v>88.2</v>
      </c>
      <c r="P8" s="1">
        <v>90.5</v>
      </c>
    </row>
    <row r="9" spans="1:17" x14ac:dyDescent="0.3">
      <c r="A9" s="12"/>
      <c r="B9" s="8" t="s">
        <v>3</v>
      </c>
      <c r="C9">
        <v>408</v>
      </c>
      <c r="D9">
        <v>402</v>
      </c>
      <c r="E9">
        <v>380</v>
      </c>
      <c r="F9">
        <v>394</v>
      </c>
      <c r="G9">
        <v>390.5</v>
      </c>
      <c r="H9">
        <v>387</v>
      </c>
      <c r="I9">
        <v>383.5</v>
      </c>
      <c r="J9">
        <v>383</v>
      </c>
      <c r="K9">
        <v>381</v>
      </c>
      <c r="L9">
        <v>371</v>
      </c>
      <c r="M9">
        <v>363</v>
      </c>
      <c r="N9">
        <v>340</v>
      </c>
      <c r="O9">
        <v>355</v>
      </c>
      <c r="P9">
        <v>353</v>
      </c>
    </row>
    <row r="10" spans="1:17" s="1" customFormat="1" x14ac:dyDescent="0.3">
      <c r="A10" s="11" t="s">
        <v>8</v>
      </c>
      <c r="B10" s="7" t="s">
        <v>9</v>
      </c>
    </row>
    <row r="11" spans="1:17" x14ac:dyDescent="0.3">
      <c r="A11" s="12"/>
      <c r="B11" s="8" t="s">
        <v>33</v>
      </c>
    </row>
    <row r="12" spans="1:17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</row>
    <row r="13" spans="1:17" x14ac:dyDescent="0.3">
      <c r="A13" s="12"/>
      <c r="B13" s="8" t="s">
        <v>11</v>
      </c>
      <c r="C13">
        <v>42</v>
      </c>
      <c r="D13">
        <v>42</v>
      </c>
      <c r="E13">
        <v>42</v>
      </c>
      <c r="F13">
        <v>42</v>
      </c>
      <c r="G13">
        <v>41.5</v>
      </c>
      <c r="H13">
        <v>36</v>
      </c>
      <c r="I13">
        <v>37</v>
      </c>
      <c r="J13">
        <v>36</v>
      </c>
      <c r="K13">
        <v>36</v>
      </c>
      <c r="L13">
        <v>30.5</v>
      </c>
      <c r="M13">
        <v>22</v>
      </c>
      <c r="N13">
        <v>42</v>
      </c>
      <c r="O13">
        <v>28</v>
      </c>
      <c r="P13">
        <v>24</v>
      </c>
    </row>
    <row r="14" spans="1:17" s="2" customFormat="1" x14ac:dyDescent="0.3">
      <c r="A14" s="13"/>
      <c r="B14" s="9" t="s">
        <v>4</v>
      </c>
    </row>
    <row r="15" spans="1:17" x14ac:dyDescent="0.3">
      <c r="B15" s="5" t="s">
        <v>6</v>
      </c>
      <c r="C15">
        <f t="shared" ref="C15:Q15" si="0">C6*SIN(RADIANS(C8))*C12/1000</f>
        <v>4.0327772509041173</v>
      </c>
      <c r="D15">
        <f t="shared" si="0"/>
        <v>3.7250747045067913</v>
      </c>
      <c r="E15">
        <f t="shared" si="0"/>
        <v>3.5012891110164026</v>
      </c>
      <c r="F15">
        <f t="shared" si="0"/>
        <v>3.3425458781636546</v>
      </c>
      <c r="G15">
        <f t="shared" si="0"/>
        <v>3.0706230541318886</v>
      </c>
      <c r="H15">
        <f t="shared" si="0"/>
        <v>2.8447657840215617</v>
      </c>
      <c r="I15">
        <f t="shared" si="0"/>
        <v>2.8446217708736867</v>
      </c>
      <c r="J15">
        <f t="shared" si="0"/>
        <v>2.7733440251756893</v>
      </c>
      <c r="K15">
        <f t="shared" si="0"/>
        <v>2.6744099726497295</v>
      </c>
      <c r="L15">
        <f t="shared" si="0"/>
        <v>2.3824102126588129</v>
      </c>
      <c r="M15">
        <f t="shared" si="0"/>
        <v>1.6805208635862576</v>
      </c>
      <c r="N15">
        <f t="shared" si="0"/>
        <v>0.39482793300422558</v>
      </c>
      <c r="O15">
        <f t="shared" si="0"/>
        <v>1.7587132677407729</v>
      </c>
      <c r="P15">
        <f t="shared" si="0"/>
        <v>1.550440293736433</v>
      </c>
      <c r="Q15">
        <f t="shared" si="0"/>
        <v>0</v>
      </c>
    </row>
    <row r="16" spans="1:17" x14ac:dyDescent="0.3">
      <c r="L16" t="s">
        <v>39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4D1C8-56B8-47D8-90D4-245D22EBCA01}">
  <dimension ref="A1:AE15"/>
  <sheetViews>
    <sheetView workbookViewId="0">
      <selection activeCell="A2" sqref="A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1" x14ac:dyDescent="0.3">
      <c r="A1" s="3" t="s">
        <v>66</v>
      </c>
    </row>
    <row r="2" spans="1:31" x14ac:dyDescent="0.3">
      <c r="A2" s="3" t="s">
        <v>5</v>
      </c>
      <c r="C2">
        <v>415</v>
      </c>
      <c r="E2" t="s">
        <v>37</v>
      </c>
    </row>
    <row r="3" spans="1:31" x14ac:dyDescent="0.3">
      <c r="A3" s="3" t="s">
        <v>36</v>
      </c>
      <c r="C3">
        <v>350</v>
      </c>
    </row>
    <row r="4" spans="1:31" x14ac:dyDescent="0.3">
      <c r="A4" s="3" t="s">
        <v>35</v>
      </c>
      <c r="C4" t="s">
        <v>40</v>
      </c>
    </row>
    <row r="5" spans="1:31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>
        <v>2.2372000000000001</v>
      </c>
      <c r="D6">
        <v>4.3940999999999999</v>
      </c>
      <c r="E6">
        <v>7.0701000000000001</v>
      </c>
      <c r="F6">
        <v>7.2348999999999997</v>
      </c>
      <c r="G6">
        <v>10.673</v>
      </c>
      <c r="H6">
        <v>11.206</v>
      </c>
      <c r="I6">
        <v>8.9809999999999999</v>
      </c>
      <c r="J6">
        <v>13.375</v>
      </c>
      <c r="K6">
        <v>13.815</v>
      </c>
      <c r="L6">
        <v>14.813000000000001</v>
      </c>
      <c r="M6">
        <v>15.010999999999999</v>
      </c>
      <c r="N6">
        <v>15.542999999999999</v>
      </c>
      <c r="O6">
        <v>14.58</v>
      </c>
      <c r="P6">
        <v>15.092000000000001</v>
      </c>
      <c r="Q6">
        <v>15.878</v>
      </c>
      <c r="R6">
        <v>18.638999999999999</v>
      </c>
      <c r="S6">
        <v>17.72</v>
      </c>
    </row>
    <row r="7" spans="1:31" x14ac:dyDescent="0.3">
      <c r="B7" s="6" t="s">
        <v>2</v>
      </c>
      <c r="C7">
        <v>1.5</v>
      </c>
      <c r="D7">
        <v>-5.5</v>
      </c>
      <c r="E7">
        <v>-14.5</v>
      </c>
      <c r="F7">
        <v>-20</v>
      </c>
      <c r="G7">
        <v>-28.5</v>
      </c>
      <c r="H7">
        <v>-35.5</v>
      </c>
      <c r="I7">
        <v>-40</v>
      </c>
      <c r="J7">
        <v>-50.5</v>
      </c>
      <c r="K7">
        <v>-60</v>
      </c>
      <c r="L7">
        <v>-66.5</v>
      </c>
      <c r="M7">
        <v>-72.5</v>
      </c>
      <c r="N7">
        <v>-78.5</v>
      </c>
      <c r="O7">
        <v>-88</v>
      </c>
      <c r="P7">
        <v>-94.5</v>
      </c>
      <c r="Q7">
        <v>-105</v>
      </c>
      <c r="R7">
        <v>-112.5</v>
      </c>
      <c r="S7">
        <v>-119.5</v>
      </c>
    </row>
    <row r="8" spans="1:31" s="1" customFormat="1" x14ac:dyDescent="0.3">
      <c r="A8" s="11" t="s">
        <v>7</v>
      </c>
      <c r="B8" s="7" t="s">
        <v>34</v>
      </c>
      <c r="C8" s="1">
        <v>82.8</v>
      </c>
      <c r="D8" s="1">
        <v>59.1</v>
      </c>
      <c r="E8" s="1">
        <v>90.3</v>
      </c>
      <c r="F8" s="1">
        <v>84.2</v>
      </c>
      <c r="G8" s="1">
        <v>84</v>
      </c>
      <c r="H8" s="1">
        <v>81.400000000000006</v>
      </c>
      <c r="I8" s="1">
        <v>80.400000000000006</v>
      </c>
      <c r="J8" s="1">
        <v>78.7</v>
      </c>
      <c r="K8" s="1">
        <v>82.9</v>
      </c>
      <c r="L8" s="1">
        <v>77.5</v>
      </c>
      <c r="M8" s="1">
        <v>79.7</v>
      </c>
      <c r="N8" s="1">
        <v>81</v>
      </c>
      <c r="O8" s="1">
        <v>80.2</v>
      </c>
      <c r="P8" s="1">
        <v>70.599999999999994</v>
      </c>
      <c r="Q8" s="1">
        <v>95.1</v>
      </c>
      <c r="R8" s="1">
        <v>79</v>
      </c>
      <c r="S8" s="1">
        <v>85</v>
      </c>
    </row>
    <row r="9" spans="1:31" x14ac:dyDescent="0.3">
      <c r="A9" s="12"/>
      <c r="B9" s="8" t="s">
        <v>3</v>
      </c>
      <c r="C9">
        <v>1</v>
      </c>
      <c r="D9">
        <v>340</v>
      </c>
      <c r="E9">
        <v>350</v>
      </c>
      <c r="F9">
        <v>350.5</v>
      </c>
      <c r="G9">
        <v>354</v>
      </c>
      <c r="H9">
        <v>362</v>
      </c>
      <c r="I9">
        <v>366</v>
      </c>
      <c r="J9">
        <v>363</v>
      </c>
      <c r="K9">
        <v>368</v>
      </c>
      <c r="L9">
        <v>373</v>
      </c>
      <c r="M9">
        <v>376</v>
      </c>
      <c r="N9">
        <v>383</v>
      </c>
      <c r="O9">
        <v>384</v>
      </c>
      <c r="P9">
        <v>394</v>
      </c>
      <c r="Q9">
        <v>391</v>
      </c>
      <c r="R9">
        <v>394.5</v>
      </c>
      <c r="S9">
        <v>395</v>
      </c>
    </row>
    <row r="10" spans="1:31" s="1" customFormat="1" x14ac:dyDescent="0.3">
      <c r="A10" s="11" t="s">
        <v>8</v>
      </c>
      <c r="B10" s="7" t="s">
        <v>9</v>
      </c>
    </row>
    <row r="11" spans="1:31" x14ac:dyDescent="0.3">
      <c r="A11" s="12"/>
      <c r="B11" s="8" t="s">
        <v>33</v>
      </c>
    </row>
    <row r="12" spans="1:31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  <c r="R12">
        <v>249.71</v>
      </c>
      <c r="S12">
        <v>249.71</v>
      </c>
      <c r="T12">
        <v>249.71</v>
      </c>
      <c r="U12">
        <v>249.71</v>
      </c>
      <c r="V12">
        <v>249.71</v>
      </c>
      <c r="W12">
        <v>249.71</v>
      </c>
      <c r="X12">
        <v>249.71</v>
      </c>
      <c r="Y12">
        <v>249.71</v>
      </c>
      <c r="Z12">
        <v>249.71</v>
      </c>
      <c r="AA12">
        <v>249.71</v>
      </c>
      <c r="AB12">
        <v>249.71</v>
      </c>
      <c r="AC12">
        <v>249.71</v>
      </c>
      <c r="AD12">
        <v>249.71</v>
      </c>
      <c r="AE12">
        <v>249.71</v>
      </c>
    </row>
    <row r="13" spans="1:31" x14ac:dyDescent="0.3">
      <c r="A13" s="12"/>
      <c r="B13" s="8" t="s">
        <v>11</v>
      </c>
      <c r="C13">
        <v>55</v>
      </c>
      <c r="D13">
        <v>43.5</v>
      </c>
      <c r="E13">
        <v>42.5</v>
      </c>
      <c r="F13">
        <v>37</v>
      </c>
      <c r="G13">
        <v>35</v>
      </c>
      <c r="H13">
        <v>33</v>
      </c>
      <c r="I13">
        <v>35</v>
      </c>
      <c r="J13">
        <v>34</v>
      </c>
      <c r="K13">
        <v>35</v>
      </c>
      <c r="L13">
        <v>34</v>
      </c>
      <c r="M13">
        <v>36</v>
      </c>
      <c r="N13">
        <v>36</v>
      </c>
      <c r="O13">
        <v>36</v>
      </c>
      <c r="P13">
        <v>36</v>
      </c>
      <c r="Q13">
        <v>36</v>
      </c>
      <c r="R13">
        <v>36</v>
      </c>
      <c r="S13">
        <v>36</v>
      </c>
    </row>
    <row r="14" spans="1:31" s="2" customFormat="1" x14ac:dyDescent="0.3">
      <c r="A14" s="13"/>
      <c r="B14" s="9" t="s">
        <v>4</v>
      </c>
    </row>
    <row r="15" spans="1:31" x14ac:dyDescent="0.3">
      <c r="B15" s="5" t="s">
        <v>6</v>
      </c>
      <c r="C15">
        <f>C6*SIN(RADIANS(C8))*C12/1000</f>
        <v>0.55424608033235112</v>
      </c>
      <c r="D15">
        <f t="shared" ref="D15:AE15" si="0">D6*SIN(RADIANS(D8))*D12/1000</f>
        <v>0.94151232788941708</v>
      </c>
      <c r="E15">
        <f t="shared" si="0"/>
        <v>1.7654504703100355</v>
      </c>
      <c r="F15">
        <f t="shared" si="0"/>
        <v>1.7973782299686616</v>
      </c>
      <c r="G15">
        <f t="shared" si="0"/>
        <v>2.6505548329815083</v>
      </c>
      <c r="H15">
        <f t="shared" si="0"/>
        <v>2.7667878003414437</v>
      </c>
      <c r="I15">
        <f t="shared" si="0"/>
        <v>2.2112395854139617</v>
      </c>
      <c r="J15">
        <f t="shared" si="0"/>
        <v>3.2751267054083995</v>
      </c>
      <c r="K15">
        <f t="shared" si="0"/>
        <v>3.4232908014126586</v>
      </c>
      <c r="L15">
        <f t="shared" si="0"/>
        <v>3.6112742452683877</v>
      </c>
      <c r="M15">
        <f t="shared" si="0"/>
        <v>3.6879915375968162</v>
      </c>
      <c r="N15">
        <f t="shared" si="0"/>
        <v>3.8334579939029743</v>
      </c>
      <c r="O15">
        <f t="shared" si="0"/>
        <v>3.5876452882959535</v>
      </c>
      <c r="P15">
        <f t="shared" si="0"/>
        <v>3.5546509046937125</v>
      </c>
      <c r="Q15">
        <f t="shared" si="0"/>
        <v>3.9491986185374381</v>
      </c>
      <c r="R15">
        <f t="shared" si="0"/>
        <v>4.5688312688392907</v>
      </c>
      <c r="S15">
        <f t="shared" si="0"/>
        <v>4.4080232672318793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1B1B-CFA9-4E3E-A27D-F86FFAE12463}">
  <dimension ref="A1:AE16"/>
  <sheetViews>
    <sheetView zoomScale="106" workbookViewId="0">
      <selection activeCell="A2" sqref="A2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</cols>
  <sheetData>
    <row r="1" spans="1:31" x14ac:dyDescent="0.3">
      <c r="A1" s="3" t="s">
        <v>65</v>
      </c>
    </row>
    <row r="2" spans="1:31" x14ac:dyDescent="0.3">
      <c r="A2" s="3" t="s">
        <v>5</v>
      </c>
      <c r="C2">
        <v>403</v>
      </c>
      <c r="E2" t="s">
        <v>46</v>
      </c>
    </row>
    <row r="3" spans="1:31" x14ac:dyDescent="0.3">
      <c r="A3" s="3" t="s">
        <v>36</v>
      </c>
      <c r="C3">
        <v>345</v>
      </c>
    </row>
    <row r="4" spans="1:31" x14ac:dyDescent="0.3">
      <c r="A4" s="3" t="s">
        <v>35</v>
      </c>
      <c r="C4">
        <v>0</v>
      </c>
      <c r="H4" t="s">
        <v>49</v>
      </c>
    </row>
    <row r="5" spans="1:31" s="10" customFormat="1" x14ac:dyDescent="0.3">
      <c r="B5" s="4" t="s">
        <v>0</v>
      </c>
      <c r="C5" s="22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23">
        <v>2.2372000000000001</v>
      </c>
      <c r="D6">
        <v>1.6</v>
      </c>
      <c r="E6">
        <v>27.57</v>
      </c>
      <c r="F6">
        <v>28.35</v>
      </c>
      <c r="G6">
        <v>22</v>
      </c>
      <c r="H6" t="s">
        <v>48</v>
      </c>
    </row>
    <row r="7" spans="1:31" x14ac:dyDescent="0.3">
      <c r="B7" s="6" t="s">
        <v>2</v>
      </c>
      <c r="C7" s="23">
        <v>1.5</v>
      </c>
      <c r="D7">
        <v>28</v>
      </c>
      <c r="E7">
        <v>-32</v>
      </c>
      <c r="F7">
        <v>-14</v>
      </c>
      <c r="G7">
        <v>4</v>
      </c>
    </row>
    <row r="8" spans="1:31" x14ac:dyDescent="0.3">
      <c r="B8" s="7" t="s">
        <v>47</v>
      </c>
      <c r="C8" s="23">
        <v>620</v>
      </c>
      <c r="D8">
        <v>628</v>
      </c>
      <c r="E8">
        <v>628.1</v>
      </c>
      <c r="F8">
        <v>629.70000000000005</v>
      </c>
      <c r="G8">
        <v>628.9</v>
      </c>
    </row>
    <row r="9" spans="1:31" s="1" customFormat="1" x14ac:dyDescent="0.3">
      <c r="A9" s="11" t="s">
        <v>7</v>
      </c>
      <c r="B9" s="7" t="s">
        <v>34</v>
      </c>
      <c r="C9" s="24">
        <v>82.8</v>
      </c>
      <c r="D9" s="1">
        <v>82</v>
      </c>
      <c r="E9" s="1">
        <v>70.5</v>
      </c>
      <c r="F9" s="1">
        <v>71</v>
      </c>
      <c r="G9" s="1">
        <v>75</v>
      </c>
    </row>
    <row r="10" spans="1:31" x14ac:dyDescent="0.3">
      <c r="A10" s="12"/>
      <c r="B10" s="8" t="s">
        <v>3</v>
      </c>
      <c r="C10" s="23">
        <v>340</v>
      </c>
      <c r="D10">
        <v>334</v>
      </c>
      <c r="E10">
        <f>260+120</f>
        <v>380</v>
      </c>
      <c r="F10">
        <v>373</v>
      </c>
      <c r="G10">
        <v>357</v>
      </c>
    </row>
    <row r="11" spans="1:31" s="1" customFormat="1" x14ac:dyDescent="0.3">
      <c r="A11" s="11" t="s">
        <v>8</v>
      </c>
      <c r="B11" s="7" t="s">
        <v>9</v>
      </c>
      <c r="C11" s="24"/>
    </row>
    <row r="12" spans="1:31" x14ac:dyDescent="0.3">
      <c r="A12" s="12"/>
      <c r="B12" s="8" t="s">
        <v>33</v>
      </c>
      <c r="C12" s="23"/>
    </row>
    <row r="13" spans="1:31" x14ac:dyDescent="0.3">
      <c r="A13" s="12"/>
      <c r="B13" s="8" t="s">
        <v>10</v>
      </c>
      <c r="C13" s="2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23"/>
      <c r="D14">
        <v>70</v>
      </c>
      <c r="E14">
        <v>32.5</v>
      </c>
      <c r="F14">
        <v>41</v>
      </c>
      <c r="G14">
        <v>57</v>
      </c>
    </row>
    <row r="15" spans="1:31" s="2" customFormat="1" x14ac:dyDescent="0.3">
      <c r="A15" s="13"/>
      <c r="B15" s="9" t="s">
        <v>4</v>
      </c>
      <c r="C15" s="25"/>
    </row>
    <row r="16" spans="1:31" s="28" customFormat="1" x14ac:dyDescent="0.3">
      <c r="A16" s="26"/>
      <c r="B16" s="27" t="s">
        <v>6</v>
      </c>
      <c r="C16" s="23">
        <f>C6*SIN(RADIANS(C9+5.15))*C13/1000</f>
        <v>0.55829367015563802</v>
      </c>
      <c r="D16" s="23">
        <f t="shared" ref="D16:W16" si="0">D6*SIN(RADIANS(D9+5.15))*D13/1000</f>
        <v>0.39904182493424839</v>
      </c>
      <c r="E16" s="23">
        <f t="shared" si="0"/>
        <v>6.6697068808236901</v>
      </c>
      <c r="F16" s="23">
        <f t="shared" si="0"/>
        <v>6.8734537902217339</v>
      </c>
      <c r="G16" s="23">
        <f t="shared" si="0"/>
        <v>5.4126384787884589</v>
      </c>
      <c r="H16" s="23" t="e">
        <f t="shared" si="0"/>
        <v>#VALUE!</v>
      </c>
      <c r="I16" s="23">
        <f t="shared" si="0"/>
        <v>0</v>
      </c>
      <c r="J16" s="23">
        <f t="shared" si="0"/>
        <v>0</v>
      </c>
      <c r="K16" s="23">
        <f t="shared" si="0"/>
        <v>0</v>
      </c>
      <c r="L16" s="23">
        <f t="shared" si="0"/>
        <v>0</v>
      </c>
      <c r="M16" s="23">
        <f t="shared" si="0"/>
        <v>0</v>
      </c>
      <c r="N16" s="23">
        <f t="shared" si="0"/>
        <v>0</v>
      </c>
      <c r="O16" s="23">
        <f t="shared" si="0"/>
        <v>0</v>
      </c>
      <c r="P16" s="23">
        <f t="shared" si="0"/>
        <v>0</v>
      </c>
      <c r="Q16" s="23">
        <f t="shared" si="0"/>
        <v>0</v>
      </c>
      <c r="R16" s="23">
        <f t="shared" si="0"/>
        <v>0</v>
      </c>
      <c r="S16" s="23">
        <f t="shared" si="0"/>
        <v>0</v>
      </c>
      <c r="T16" s="23">
        <f t="shared" si="0"/>
        <v>0</v>
      </c>
      <c r="U16" s="23">
        <f t="shared" si="0"/>
        <v>0</v>
      </c>
      <c r="V16" s="23">
        <f t="shared" si="0"/>
        <v>0</v>
      </c>
      <c r="W16" s="23">
        <f t="shared" si="0"/>
        <v>0</v>
      </c>
      <c r="AA16" s="28">
        <f t="shared" ref="AA16:AE16" si="1">AA6*SIN(RADIANS(AA9))*AA13/1000</f>
        <v>0</v>
      </c>
      <c r="AB16" s="28">
        <f t="shared" si="1"/>
        <v>0</v>
      </c>
      <c r="AC16" s="28">
        <f t="shared" si="1"/>
        <v>0</v>
      </c>
      <c r="AD16" s="28">
        <f t="shared" si="1"/>
        <v>0</v>
      </c>
      <c r="AE16" s="28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A6C4B-FDDD-4D0B-90C8-5B01A1705645}">
  <dimension ref="A1:AE17"/>
  <sheetViews>
    <sheetView zoomScale="78" workbookViewId="0">
      <selection activeCell="A2" sqref="A2"/>
    </sheetView>
  </sheetViews>
  <sheetFormatPr defaultRowHeight="14.4" x14ac:dyDescent="0.3"/>
  <cols>
    <col min="1" max="1" width="8.77734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  <col min="14" max="14" width="14.88671875" bestFit="1" customWidth="1"/>
  </cols>
  <sheetData>
    <row r="1" spans="1:31" x14ac:dyDescent="0.3">
      <c r="A1" s="3" t="s">
        <v>64</v>
      </c>
    </row>
    <row r="2" spans="1:31" x14ac:dyDescent="0.3">
      <c r="A2" s="3" t="s">
        <v>5</v>
      </c>
      <c r="C2">
        <v>408</v>
      </c>
      <c r="E2" t="s">
        <v>46</v>
      </c>
    </row>
    <row r="3" spans="1:31" x14ac:dyDescent="0.3">
      <c r="A3" s="3" t="s">
        <v>36</v>
      </c>
      <c r="C3">
        <v>342</v>
      </c>
    </row>
    <row r="4" spans="1:31" x14ac:dyDescent="0.3">
      <c r="A4" s="3" t="s">
        <v>35</v>
      </c>
      <c r="C4">
        <v>0</v>
      </c>
      <c r="H4" t="s">
        <v>49</v>
      </c>
      <c r="N4" t="s">
        <v>24</v>
      </c>
      <c r="O4" s="3" t="s">
        <v>24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</v>
      </c>
      <c r="D6">
        <v>6.08</v>
      </c>
      <c r="E6">
        <v>16.850000000000001</v>
      </c>
      <c r="F6">
        <v>23.21</v>
      </c>
      <c r="G6">
        <v>30.212</v>
      </c>
      <c r="H6">
        <v>34.454999999999998</v>
      </c>
      <c r="I6">
        <v>35.81</v>
      </c>
      <c r="J6">
        <v>35.049999999999997</v>
      </c>
      <c r="K6">
        <v>33.299999999999997</v>
      </c>
      <c r="L6">
        <v>31</v>
      </c>
      <c r="M6">
        <v>32</v>
      </c>
      <c r="N6">
        <v>39.243000000000002</v>
      </c>
      <c r="O6">
        <v>37.6</v>
      </c>
    </row>
    <row r="7" spans="1:31" x14ac:dyDescent="0.3">
      <c r="B7" s="6" t="s">
        <v>2</v>
      </c>
      <c r="C7" s="16">
        <v>40</v>
      </c>
      <c r="D7">
        <v>38</v>
      </c>
      <c r="E7">
        <v>28</v>
      </c>
      <c r="F7">
        <v>25</v>
      </c>
      <c r="G7">
        <v>15</v>
      </c>
      <c r="H7">
        <v>0</v>
      </c>
      <c r="I7">
        <v>-9</v>
      </c>
      <c r="J7">
        <v>-25</v>
      </c>
      <c r="K7">
        <v>-29</v>
      </c>
      <c r="L7">
        <v>-30</v>
      </c>
      <c r="M7">
        <v>-40</v>
      </c>
      <c r="N7">
        <v>-69</v>
      </c>
      <c r="O7">
        <v>-73</v>
      </c>
    </row>
    <row r="8" spans="1:31" x14ac:dyDescent="0.3">
      <c r="B8" s="7" t="s">
        <v>47</v>
      </c>
      <c r="C8" s="16">
        <v>622.08600000000001</v>
      </c>
      <c r="D8">
        <v>627.41999999999996</v>
      </c>
      <c r="E8">
        <v>628.19100000000003</v>
      </c>
      <c r="F8">
        <v>627.428</v>
      </c>
      <c r="G8">
        <v>626.65499999999997</v>
      </c>
      <c r="H8">
        <v>628.71500000000003</v>
      </c>
      <c r="I8">
        <v>628.19100000000003</v>
      </c>
      <c r="J8">
        <v>627.42600000000004</v>
      </c>
      <c r="K8">
        <v>629.71799999999996</v>
      </c>
      <c r="L8">
        <v>628.95500000000004</v>
      </c>
      <c r="M8">
        <v>627.48</v>
      </c>
      <c r="N8">
        <v>627.48</v>
      </c>
      <c r="O8">
        <v>629.71799999999996</v>
      </c>
    </row>
    <row r="9" spans="1:31" s="1" customFormat="1" x14ac:dyDescent="0.3">
      <c r="A9" s="11" t="s">
        <v>7</v>
      </c>
      <c r="B9" s="7" t="s">
        <v>34</v>
      </c>
      <c r="C9" s="15">
        <v>87</v>
      </c>
      <c r="D9" s="1">
        <v>89</v>
      </c>
      <c r="E9" s="1">
        <v>85</v>
      </c>
      <c r="F9" s="1">
        <v>88</v>
      </c>
      <c r="G9" s="1">
        <v>83</v>
      </c>
      <c r="H9" s="1">
        <v>80</v>
      </c>
      <c r="I9" s="1">
        <v>78.5</v>
      </c>
      <c r="J9" s="1">
        <v>75.5</v>
      </c>
      <c r="K9" s="1">
        <v>75</v>
      </c>
      <c r="L9" s="1">
        <v>77</v>
      </c>
      <c r="M9" s="1">
        <v>75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339</v>
      </c>
      <c r="D10">
        <v>334</v>
      </c>
      <c r="E10">
        <v>346</v>
      </c>
      <c r="F10">
        <v>349</v>
      </c>
      <c r="G10">
        <v>360</v>
      </c>
      <c r="H10">
        <v>372</v>
      </c>
      <c r="I10">
        <v>378</v>
      </c>
      <c r="J10">
        <v>382</v>
      </c>
      <c r="K10">
        <v>382</v>
      </c>
      <c r="L10">
        <v>383</v>
      </c>
      <c r="M10">
        <v>387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84</v>
      </c>
      <c r="D14">
        <v>75</v>
      </c>
      <c r="E14">
        <v>73</v>
      </c>
      <c r="F14">
        <v>65</v>
      </c>
      <c r="G14">
        <v>60</v>
      </c>
      <c r="H14">
        <v>54</v>
      </c>
      <c r="I14">
        <v>46</v>
      </c>
      <c r="J14">
        <v>41.5</v>
      </c>
      <c r="K14">
        <v>40</v>
      </c>
      <c r="L14">
        <v>35</v>
      </c>
      <c r="M14">
        <v>31</v>
      </c>
      <c r="N14">
        <v>27</v>
      </c>
      <c r="O14">
        <v>26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0.24953421304926138</v>
      </c>
      <c r="D16" s="16">
        <f t="shared" ref="D16:AE16" si="0">D6*SIN(RADIANS(D9+5.15))*D13/1000</f>
        <v>1.5142559980666597</v>
      </c>
      <c r="E16" s="16">
        <f t="shared" si="0"/>
        <v>4.2075990807440986</v>
      </c>
      <c r="F16" s="16">
        <f t="shared" si="0"/>
        <v>5.7870122576907166</v>
      </c>
      <c r="G16" s="16">
        <f t="shared" si="0"/>
        <v>7.5403062269525929</v>
      </c>
      <c r="H16" s="16">
        <f t="shared" si="0"/>
        <v>8.5729519254467039</v>
      </c>
      <c r="I16" s="16">
        <f t="shared" si="0"/>
        <v>8.8872535762189724</v>
      </c>
      <c r="J16" s="16">
        <f t="shared" si="0"/>
        <v>8.6360547250805002</v>
      </c>
      <c r="K16" s="16">
        <f t="shared" si="0"/>
        <v>8.1927664247116212</v>
      </c>
      <c r="L16" s="16">
        <f t="shared" si="0"/>
        <v>7.6684692202315645</v>
      </c>
      <c r="M16" s="16">
        <f t="shared" si="0"/>
        <v>7.8729286964195762</v>
      </c>
      <c r="N16" s="16">
        <f t="shared" si="0"/>
        <v>9.6549169010497948</v>
      </c>
      <c r="O16" s="16">
        <f t="shared" si="0"/>
        <v>9.1890008400799115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4:15" x14ac:dyDescent="0.3">
      <c r="N17" s="3" t="s">
        <v>50</v>
      </c>
      <c r="O17" s="3" t="s">
        <v>51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35A-7F76-4974-8609-056275EBAB78}">
  <dimension ref="A1:AE21"/>
  <sheetViews>
    <sheetView zoomScale="78" workbookViewId="0">
      <selection activeCell="A2" sqref="A2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63</v>
      </c>
    </row>
    <row r="2" spans="1:31" x14ac:dyDescent="0.3">
      <c r="A2" s="3" t="s">
        <v>5</v>
      </c>
      <c r="C2">
        <v>400</v>
      </c>
      <c r="E2" t="s">
        <v>46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0</v>
      </c>
      <c r="E4" t="s">
        <v>60</v>
      </c>
      <c r="L4" t="s">
        <v>53</v>
      </c>
      <c r="M4" t="s">
        <v>54</v>
      </c>
      <c r="O4" s="3"/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0</v>
      </c>
      <c r="D6">
        <v>10.9</v>
      </c>
      <c r="E6">
        <v>24.4</v>
      </c>
      <c r="F6">
        <v>32.9</v>
      </c>
      <c r="G6">
        <v>36.799999999999997</v>
      </c>
      <c r="H6">
        <v>38.700000000000003</v>
      </c>
      <c r="I6">
        <v>39.17</v>
      </c>
      <c r="J6">
        <v>38.93</v>
      </c>
      <c r="K6">
        <v>38.17</v>
      </c>
      <c r="L6">
        <v>41.54</v>
      </c>
      <c r="M6">
        <v>45.42</v>
      </c>
    </row>
    <row r="7" spans="1:31" x14ac:dyDescent="0.3">
      <c r="B7" s="6" t="s">
        <v>2</v>
      </c>
      <c r="C7" s="16">
        <v>41.5</v>
      </c>
      <c r="D7">
        <v>38.5</v>
      </c>
      <c r="E7">
        <v>27.7</v>
      </c>
      <c r="F7">
        <v>16.399999999999999</v>
      </c>
      <c r="G7">
        <v>8.4</v>
      </c>
      <c r="H7">
        <v>0</v>
      </c>
      <c r="I7">
        <v>-11</v>
      </c>
      <c r="J7">
        <v>-23.5</v>
      </c>
      <c r="K7">
        <v>-34.75</v>
      </c>
      <c r="L7">
        <v>-44.18</v>
      </c>
      <c r="M7">
        <v>-52.89</v>
      </c>
    </row>
    <row r="8" spans="1:31" x14ac:dyDescent="0.3">
      <c r="B8" s="4" t="s">
        <v>47</v>
      </c>
      <c r="C8" s="16">
        <v>626</v>
      </c>
      <c r="D8">
        <v>625</v>
      </c>
      <c r="E8">
        <v>624</v>
      </c>
      <c r="F8">
        <v>625</v>
      </c>
      <c r="G8">
        <v>625</v>
      </c>
      <c r="H8">
        <v>625</v>
      </c>
      <c r="I8">
        <v>622.84799999999996</v>
      </c>
      <c r="J8">
        <v>625.91</v>
      </c>
      <c r="K8">
        <v>625.90099999999995</v>
      </c>
      <c r="L8">
        <v>625.13800000000003</v>
      </c>
      <c r="M8">
        <v>623.61</v>
      </c>
    </row>
    <row r="9" spans="1:31" s="1" customFormat="1" x14ac:dyDescent="0.3">
      <c r="A9" s="11" t="s">
        <v>7</v>
      </c>
      <c r="B9" s="7" t="s">
        <v>34</v>
      </c>
      <c r="C9" s="15">
        <v>90</v>
      </c>
      <c r="D9" s="1">
        <v>5</v>
      </c>
      <c r="E9" s="1">
        <v>82</v>
      </c>
      <c r="F9" s="1">
        <v>79</v>
      </c>
      <c r="G9" s="1">
        <v>76.5</v>
      </c>
      <c r="H9" s="1">
        <v>78</v>
      </c>
      <c r="I9" s="1">
        <v>73.5</v>
      </c>
      <c r="J9" s="1">
        <v>75</v>
      </c>
      <c r="K9" s="1">
        <v>72</v>
      </c>
      <c r="L9" s="1">
        <v>72</v>
      </c>
      <c r="M9" s="1">
        <v>70.5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347</v>
      </c>
      <c r="D10">
        <v>337</v>
      </c>
      <c r="E10">
        <v>351</v>
      </c>
      <c r="F10">
        <v>362</v>
      </c>
      <c r="G10">
        <v>369</v>
      </c>
      <c r="H10">
        <v>376</v>
      </c>
      <c r="I10">
        <v>383</v>
      </c>
      <c r="J10">
        <v>386</v>
      </c>
      <c r="K10">
        <v>392</v>
      </c>
      <c r="L10">
        <v>396</v>
      </c>
      <c r="M10">
        <v>394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72</v>
      </c>
      <c r="D14">
        <v>75</v>
      </c>
      <c r="E14">
        <v>67</v>
      </c>
      <c r="F14">
        <v>60</v>
      </c>
      <c r="G14">
        <v>57</v>
      </c>
      <c r="H14">
        <v>53</v>
      </c>
      <c r="I14">
        <v>45</v>
      </c>
      <c r="J14">
        <v>37</v>
      </c>
      <c r="K14">
        <v>33</v>
      </c>
      <c r="L14">
        <v>30</v>
      </c>
      <c r="M14">
        <v>27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</v>
      </c>
      <c r="D16" s="16">
        <f t="shared" ref="D16:AE16" si="0">D6*SIN(RADIANS(D9+5.15))*D13/1000</f>
        <v>0.479658256083415</v>
      </c>
      <c r="E16" s="16">
        <f t="shared" si="0"/>
        <v>6.0853878302472877</v>
      </c>
      <c r="F16" s="16">
        <f t="shared" si="0"/>
        <v>8.1726740541656504</v>
      </c>
      <c r="G16" s="16">
        <f t="shared" si="0"/>
        <v>9.0919159565125973</v>
      </c>
      <c r="H16" s="16">
        <f t="shared" si="0"/>
        <v>9.5947950567029991</v>
      </c>
      <c r="I16" s="16">
        <f t="shared" si="0"/>
        <v>9.589853766973512</v>
      </c>
      <c r="J16" s="16">
        <f t="shared" si="0"/>
        <v>9.5779098172379413</v>
      </c>
      <c r="K16" s="16">
        <f t="shared" si="0"/>
        <v>9.2927221705041383</v>
      </c>
      <c r="L16" s="16">
        <f t="shared" si="0"/>
        <v>10.113169477672042</v>
      </c>
      <c r="M16" s="16">
        <f t="shared" si="0"/>
        <v>10.987961063729124</v>
      </c>
      <c r="N16" s="16">
        <f t="shared" si="0"/>
        <v>0</v>
      </c>
      <c r="O16" s="16">
        <f t="shared" si="0"/>
        <v>0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">
      <c r="N17" s="3"/>
      <c r="O17" s="3"/>
    </row>
    <row r="21" spans="2:15" x14ac:dyDescent="0.3">
      <c r="B21" s="21" t="s">
        <v>52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3ACFF-8EC2-4AAF-BDC7-460D102A0BEE}">
  <dimension ref="A1:AE21"/>
  <sheetViews>
    <sheetView zoomScale="78" workbookViewId="0">
      <selection activeCell="A2" sqref="A2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62</v>
      </c>
    </row>
    <row r="2" spans="1:31" x14ac:dyDescent="0.3">
      <c r="A2" s="3" t="s">
        <v>5</v>
      </c>
      <c r="C2">
        <v>400</v>
      </c>
      <c r="E2" t="s">
        <v>58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40</v>
      </c>
      <c r="E4" t="s">
        <v>60</v>
      </c>
      <c r="L4" t="s">
        <v>16</v>
      </c>
      <c r="N4" t="s">
        <v>24</v>
      </c>
      <c r="O4" s="3" t="s">
        <v>26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1.1000000000000001</v>
      </c>
      <c r="D6">
        <v>4.0999999999999996</v>
      </c>
      <c r="E6">
        <v>8.1</v>
      </c>
      <c r="F6">
        <v>8.6</v>
      </c>
      <c r="G6">
        <v>13.3</v>
      </c>
      <c r="H6">
        <v>14.4</v>
      </c>
      <c r="I6">
        <v>13.6</v>
      </c>
      <c r="J6">
        <v>15</v>
      </c>
      <c r="K6">
        <v>16.8</v>
      </c>
      <c r="L6">
        <v>16.5</v>
      </c>
      <c r="M6">
        <v>18.600000000000001</v>
      </c>
      <c r="N6">
        <v>19.5</v>
      </c>
      <c r="O6">
        <v>20.7</v>
      </c>
    </row>
    <row r="7" spans="1:31" x14ac:dyDescent="0.3">
      <c r="B7" s="6" t="s">
        <v>2</v>
      </c>
      <c r="C7" s="16">
        <v>4.0999999999999996</v>
      </c>
      <c r="D7">
        <v>2</v>
      </c>
      <c r="E7">
        <v>-4</v>
      </c>
      <c r="F7">
        <v>-3.3</v>
      </c>
      <c r="G7">
        <v>-16.600000000000001</v>
      </c>
      <c r="H7">
        <v>-28</v>
      </c>
      <c r="I7">
        <v>-40</v>
      </c>
      <c r="J7">
        <v>-51.85</v>
      </c>
      <c r="K7">
        <v>-64</v>
      </c>
      <c r="L7">
        <v>-62.6</v>
      </c>
      <c r="M7">
        <v>-78</v>
      </c>
      <c r="N7">
        <v>-92.7</v>
      </c>
      <c r="O7">
        <v>-100</v>
      </c>
    </row>
    <row r="8" spans="1:31" x14ac:dyDescent="0.3">
      <c r="B8" s="4" t="s">
        <v>47</v>
      </c>
      <c r="C8" s="16">
        <v>617</v>
      </c>
      <c r="D8">
        <v>615</v>
      </c>
      <c r="E8">
        <v>617.5</v>
      </c>
      <c r="F8">
        <v>614</v>
      </c>
      <c r="G8">
        <v>614</v>
      </c>
      <c r="H8">
        <v>614.5</v>
      </c>
      <c r="I8">
        <v>622</v>
      </c>
      <c r="J8">
        <v>622</v>
      </c>
      <c r="K8">
        <v>621</v>
      </c>
      <c r="L8">
        <v>620</v>
      </c>
      <c r="M8">
        <v>622</v>
      </c>
      <c r="N8">
        <v>619.79999999999995</v>
      </c>
      <c r="O8">
        <v>620</v>
      </c>
    </row>
    <row r="9" spans="1:31" s="1" customFormat="1" x14ac:dyDescent="0.3">
      <c r="A9" s="11" t="s">
        <v>7</v>
      </c>
      <c r="B9" s="7" t="s">
        <v>34</v>
      </c>
      <c r="C9" s="15">
        <v>79</v>
      </c>
      <c r="D9" s="1">
        <v>79</v>
      </c>
      <c r="E9" s="1">
        <v>78</v>
      </c>
      <c r="F9" s="1">
        <v>80</v>
      </c>
      <c r="G9" s="1">
        <v>76.5</v>
      </c>
      <c r="H9" s="1">
        <v>76</v>
      </c>
      <c r="I9" s="1">
        <v>75</v>
      </c>
      <c r="J9" s="1">
        <v>71</v>
      </c>
      <c r="K9" s="1">
        <v>72.5</v>
      </c>
      <c r="L9" s="1">
        <v>73</v>
      </c>
      <c r="M9" s="1">
        <v>70</v>
      </c>
      <c r="N9" s="1">
        <v>69</v>
      </c>
      <c r="O9" s="1">
        <v>68</v>
      </c>
    </row>
    <row r="10" spans="1:31" x14ac:dyDescent="0.3">
      <c r="A10" s="12"/>
      <c r="B10" s="8" t="s">
        <v>3</v>
      </c>
      <c r="C10" s="16">
        <v>337</v>
      </c>
      <c r="D10">
        <v>348</v>
      </c>
      <c r="E10">
        <v>345</v>
      </c>
      <c r="F10">
        <v>343</v>
      </c>
      <c r="G10">
        <v>346</v>
      </c>
      <c r="H10">
        <v>351</v>
      </c>
      <c r="I10">
        <v>359</v>
      </c>
      <c r="J10">
        <v>364</v>
      </c>
      <c r="K10">
        <v>370</v>
      </c>
      <c r="L10">
        <v>369</v>
      </c>
      <c r="M10">
        <v>374</v>
      </c>
      <c r="N10">
        <v>382</v>
      </c>
      <c r="O10">
        <v>382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61</v>
      </c>
      <c r="D14">
        <v>60</v>
      </c>
      <c r="E14">
        <v>60</v>
      </c>
      <c r="F14">
        <v>55</v>
      </c>
      <c r="G14">
        <v>50</v>
      </c>
      <c r="H14">
        <v>42</v>
      </c>
      <c r="I14">
        <v>32</v>
      </c>
      <c r="J14">
        <v>33</v>
      </c>
      <c r="K14">
        <v>32</v>
      </c>
      <c r="L14">
        <v>35</v>
      </c>
      <c r="M14">
        <v>30</v>
      </c>
      <c r="N14">
        <v>29</v>
      </c>
      <c r="O14">
        <v>25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0.27325050029125281</v>
      </c>
      <c r="D16" s="16">
        <f t="shared" ref="D16:AE16" si="0">D6*SIN(RADIANS(D9+5.15))*D13/1000</f>
        <v>1.018479137449215</v>
      </c>
      <c r="E16" s="16">
        <f t="shared" si="0"/>
        <v>2.0082129188448139</v>
      </c>
      <c r="F16" s="16">
        <f t="shared" si="0"/>
        <v>2.1398167627003817</v>
      </c>
      <c r="G16" s="16">
        <f t="shared" si="0"/>
        <v>3.2859370168917823</v>
      </c>
      <c r="H16" s="16">
        <f t="shared" si="0"/>
        <v>3.5530139168158374</v>
      </c>
      <c r="I16" s="16">
        <f t="shared" si="0"/>
        <v>3.3459946959783196</v>
      </c>
      <c r="J16" s="16">
        <f t="shared" si="0"/>
        <v>3.6367480371543559</v>
      </c>
      <c r="K16" s="16">
        <f t="shared" si="0"/>
        <v>4.0980497945480545</v>
      </c>
      <c r="L16" s="16">
        <f t="shared" si="0"/>
        <v>4.0324072835457061</v>
      </c>
      <c r="M16" s="16">
        <f t="shared" si="0"/>
        <v>4.4894766334283407</v>
      </c>
      <c r="N16" s="16">
        <f t="shared" si="0"/>
        <v>4.6842125899402092</v>
      </c>
      <c r="O16" s="16">
        <f t="shared" si="0"/>
        <v>4.9470759618756661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">
      <c r="L17" t="s">
        <v>55</v>
      </c>
      <c r="N17" s="3" t="s">
        <v>56</v>
      </c>
      <c r="O17" s="3" t="s">
        <v>57</v>
      </c>
    </row>
    <row r="21" spans="2:15" x14ac:dyDescent="0.3">
      <c r="B21" s="21" t="s">
        <v>52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CE551-57A5-4045-B5A9-E0D9326386C2}">
  <dimension ref="A1:AE27"/>
  <sheetViews>
    <sheetView zoomScale="78" workbookViewId="0">
      <selection activeCell="Y45" sqref="Y45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61</v>
      </c>
    </row>
    <row r="2" spans="1:31" x14ac:dyDescent="0.3">
      <c r="A2" s="3" t="s">
        <v>5</v>
      </c>
      <c r="C2">
        <v>432</v>
      </c>
      <c r="E2" t="s">
        <v>58</v>
      </c>
    </row>
    <row r="3" spans="1:31" x14ac:dyDescent="0.3">
      <c r="A3" s="3" t="s">
        <v>36</v>
      </c>
      <c r="C3">
        <v>367</v>
      </c>
      <c r="D3">
        <f>(C3/C2)</f>
        <v>0.84953703703703709</v>
      </c>
      <c r="E3">
        <f>1-D3</f>
        <v>0.15046296296296291</v>
      </c>
    </row>
    <row r="4" spans="1:31" x14ac:dyDescent="0.3">
      <c r="A4" s="3" t="s">
        <v>35</v>
      </c>
      <c r="C4">
        <v>22</v>
      </c>
      <c r="E4" t="s">
        <v>59</v>
      </c>
      <c r="O4" s="3"/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17.100000000000001</v>
      </c>
      <c r="D6">
        <v>13.4</v>
      </c>
      <c r="E6">
        <v>10.9</v>
      </c>
      <c r="F6">
        <v>8.1</v>
      </c>
      <c r="G6">
        <v>3</v>
      </c>
      <c r="H6">
        <v>1</v>
      </c>
      <c r="I6">
        <v>9.6</v>
      </c>
      <c r="J6">
        <v>13.2</v>
      </c>
      <c r="K6">
        <v>11.2</v>
      </c>
      <c r="L6">
        <v>13.6</v>
      </c>
      <c r="M6">
        <v>14.8</v>
      </c>
      <c r="N6">
        <v>15.8</v>
      </c>
      <c r="O6">
        <v>18.100000000000001</v>
      </c>
      <c r="P6">
        <v>21</v>
      </c>
    </row>
    <row r="7" spans="1:31" x14ac:dyDescent="0.3">
      <c r="B7" s="6" t="s">
        <v>2</v>
      </c>
      <c r="C7" s="16">
        <v>-101</v>
      </c>
      <c r="D7">
        <v>-84.5</v>
      </c>
      <c r="E7">
        <v>-61</v>
      </c>
      <c r="F7">
        <v>-25</v>
      </c>
      <c r="G7">
        <v>-2.5</v>
      </c>
      <c r="H7">
        <v>4</v>
      </c>
      <c r="I7">
        <v>-14.5</v>
      </c>
      <c r="J7">
        <v>-30</v>
      </c>
      <c r="K7">
        <v>-40</v>
      </c>
      <c r="L7">
        <v>-53.5</v>
      </c>
      <c r="M7">
        <v>-63</v>
      </c>
      <c r="N7">
        <v>-85</v>
      </c>
      <c r="O7">
        <v>-96</v>
      </c>
      <c r="P7">
        <v>-106.5</v>
      </c>
    </row>
    <row r="8" spans="1:31" x14ac:dyDescent="0.3">
      <c r="B8" s="4" t="s">
        <v>47</v>
      </c>
      <c r="C8" s="16">
        <v>624</v>
      </c>
      <c r="D8">
        <v>622</v>
      </c>
      <c r="E8">
        <v>622</v>
      </c>
      <c r="F8">
        <v>624</v>
      </c>
      <c r="G8">
        <v>623</v>
      </c>
      <c r="H8">
        <v>623</v>
      </c>
      <c r="I8">
        <v>622</v>
      </c>
      <c r="J8">
        <v>622</v>
      </c>
      <c r="K8">
        <v>622</v>
      </c>
      <c r="L8">
        <v>625</v>
      </c>
      <c r="M8">
        <v>624</v>
      </c>
      <c r="N8">
        <v>623</v>
      </c>
      <c r="O8">
        <v>623</v>
      </c>
      <c r="P8">
        <v>622</v>
      </c>
    </row>
    <row r="9" spans="1:31" s="1" customFormat="1" x14ac:dyDescent="0.3">
      <c r="A9" s="11" t="s">
        <v>7</v>
      </c>
      <c r="B9" s="7" t="s">
        <v>34</v>
      </c>
      <c r="C9" s="15">
        <v>69</v>
      </c>
      <c r="D9" s="1">
        <v>71</v>
      </c>
      <c r="E9" s="1">
        <v>71.5</v>
      </c>
      <c r="F9" s="1">
        <v>76</v>
      </c>
      <c r="G9" s="1">
        <v>79</v>
      </c>
      <c r="H9" s="1">
        <v>82</v>
      </c>
      <c r="I9" s="1">
        <v>77</v>
      </c>
      <c r="J9" s="1">
        <v>76</v>
      </c>
      <c r="K9" s="1">
        <v>73</v>
      </c>
      <c r="L9" s="1">
        <v>71</v>
      </c>
      <c r="M9" s="1">
        <v>72</v>
      </c>
      <c r="N9" s="1">
        <v>69.5</v>
      </c>
      <c r="O9" s="1">
        <v>69</v>
      </c>
      <c r="P9" s="1">
        <v>70</v>
      </c>
    </row>
    <row r="10" spans="1:31" x14ac:dyDescent="0.3">
      <c r="A10" s="12"/>
      <c r="B10" s="8" t="s">
        <v>3</v>
      </c>
      <c r="C10" s="16">
        <v>405</v>
      </c>
      <c r="D10">
        <v>395</v>
      </c>
      <c r="E10">
        <v>387</v>
      </c>
      <c r="F10">
        <v>375</v>
      </c>
      <c r="G10">
        <v>363</v>
      </c>
      <c r="H10">
        <v>356</v>
      </c>
      <c r="I10">
        <v>370</v>
      </c>
      <c r="J10">
        <v>375</v>
      </c>
      <c r="K10">
        <v>381</v>
      </c>
      <c r="L10">
        <v>388</v>
      </c>
      <c r="M10">
        <v>390</v>
      </c>
      <c r="N10">
        <v>396</v>
      </c>
      <c r="O10">
        <v>401</v>
      </c>
      <c r="P10">
        <v>403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30</v>
      </c>
      <c r="D14">
        <v>30</v>
      </c>
      <c r="E14">
        <v>30</v>
      </c>
      <c r="F14">
        <v>43</v>
      </c>
      <c r="G14">
        <v>55</v>
      </c>
      <c r="H14">
        <v>60</v>
      </c>
      <c r="I14">
        <v>45</v>
      </c>
      <c r="J14">
        <v>40</v>
      </c>
      <c r="K14">
        <v>42</v>
      </c>
      <c r="L14">
        <v>30</v>
      </c>
      <c r="M14">
        <v>30</v>
      </c>
      <c r="N14">
        <v>30</v>
      </c>
      <c r="O14">
        <v>30</v>
      </c>
      <c r="P14">
        <v>25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4.1076941173321835</v>
      </c>
      <c r="D16" s="16">
        <f t="shared" ref="D16:AE16" si="0">D6*SIN(RADIANS(D9+5.15))*D13/1000</f>
        <v>3.2488282465245577</v>
      </c>
      <c r="E16" s="16">
        <f t="shared" si="0"/>
        <v>2.6482887751287043</v>
      </c>
      <c r="F16" s="16">
        <f>F6*SIN(RADIANS(F9+5.15))*F13/1000</f>
        <v>1.9985703282089087</v>
      </c>
      <c r="G16" s="16">
        <f t="shared" si="0"/>
        <v>0.74522863715796217</v>
      </c>
      <c r="H16" s="16">
        <f t="shared" si="0"/>
        <v>0.24940114058390522</v>
      </c>
      <c r="I16" s="16">
        <f t="shared" si="0"/>
        <v>2.3747517585233231</v>
      </c>
      <c r="J16" s="16">
        <f t="shared" si="0"/>
        <v>3.2569294237478505</v>
      </c>
      <c r="K16" s="16">
        <f t="shared" si="0"/>
        <v>2.7371491864067816</v>
      </c>
      <c r="L16" s="16">
        <f t="shared" si="0"/>
        <v>3.2973182203532829</v>
      </c>
      <c r="M16" s="16">
        <f t="shared" si="0"/>
        <v>3.6031513786602369</v>
      </c>
      <c r="N16" s="16">
        <f t="shared" si="0"/>
        <v>3.8046722299114375</v>
      </c>
      <c r="O16" s="16">
        <f t="shared" si="0"/>
        <v>4.3479101475855275</v>
      </c>
      <c r="P16" s="16">
        <f t="shared" si="0"/>
        <v>5.0687639409674814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">
      <c r="N17" s="3"/>
      <c r="O17" s="3"/>
    </row>
    <row r="21" spans="2:15" x14ac:dyDescent="0.3">
      <c r="B21" s="21" t="s">
        <v>52</v>
      </c>
    </row>
    <row r="27" spans="2:15" x14ac:dyDescent="0.3">
      <c r="B27" s="29" t="s">
        <v>67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E535-3534-4BC1-886C-868F03FBDC68}">
  <dimension ref="A1:AK36"/>
  <sheetViews>
    <sheetView topLeftCell="A2" zoomScale="76" workbookViewId="0">
      <selection activeCell="O41" sqref="O41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</cols>
  <sheetData>
    <row r="1" spans="1:37" x14ac:dyDescent="0.3">
      <c r="A1" s="3" t="s">
        <v>61</v>
      </c>
      <c r="B1" s="3"/>
    </row>
    <row r="2" spans="1:37" x14ac:dyDescent="0.3">
      <c r="A2" s="3" t="s">
        <v>71</v>
      </c>
      <c r="B2" s="3"/>
      <c r="C2">
        <v>436</v>
      </c>
      <c r="E2" t="s">
        <v>68</v>
      </c>
    </row>
    <row r="3" spans="1:37" x14ac:dyDescent="0.3">
      <c r="A3" s="3" t="s">
        <v>70</v>
      </c>
      <c r="B3" s="3"/>
      <c r="C3">
        <v>371</v>
      </c>
      <c r="D3">
        <f>(C3/C2)</f>
        <v>0.8509174311926605</v>
      </c>
      <c r="E3">
        <f>1-D3</f>
        <v>0.1490825688073395</v>
      </c>
    </row>
    <row r="4" spans="1:37" x14ac:dyDescent="0.3">
      <c r="A4" s="3" t="s">
        <v>35</v>
      </c>
      <c r="B4" s="3"/>
      <c r="C4">
        <v>0</v>
      </c>
      <c r="E4" t="s">
        <v>59</v>
      </c>
      <c r="M4" t="s">
        <v>73</v>
      </c>
      <c r="N4" t="s">
        <v>74</v>
      </c>
      <c r="O4" s="3" t="s">
        <v>75</v>
      </c>
      <c r="P4" t="s">
        <v>76</v>
      </c>
      <c r="Q4" t="s">
        <v>77</v>
      </c>
      <c r="R4" t="s">
        <v>78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30"/>
      <c r="D6">
        <v>1.56</v>
      </c>
      <c r="E6">
        <v>7.27</v>
      </c>
      <c r="F6">
        <v>18.05</v>
      </c>
      <c r="G6">
        <v>22.13</v>
      </c>
      <c r="H6">
        <v>24.334</v>
      </c>
      <c r="I6">
        <v>23.155999999999999</v>
      </c>
      <c r="J6">
        <v>25.13</v>
      </c>
      <c r="K6">
        <v>25.15</v>
      </c>
      <c r="L6">
        <v>26.1</v>
      </c>
      <c r="M6">
        <v>29.18</v>
      </c>
      <c r="N6">
        <v>31.68</v>
      </c>
      <c r="O6">
        <v>32.74</v>
      </c>
      <c r="P6">
        <v>34.68</v>
      </c>
      <c r="Q6">
        <v>38.82</v>
      </c>
      <c r="R6">
        <v>29.24</v>
      </c>
      <c r="S6">
        <v>22.6</v>
      </c>
      <c r="T6">
        <v>20.248000000000001</v>
      </c>
      <c r="U6">
        <v>19.89</v>
      </c>
      <c r="V6">
        <v>18.373999999999999</v>
      </c>
      <c r="W6">
        <v>0.40200000000000002</v>
      </c>
    </row>
    <row r="7" spans="1:37" x14ac:dyDescent="0.3">
      <c r="A7" s="3"/>
      <c r="B7" s="6" t="s">
        <v>2</v>
      </c>
      <c r="C7" s="30"/>
      <c r="D7">
        <v>28.29</v>
      </c>
      <c r="E7">
        <v>18.149999999999999</v>
      </c>
      <c r="F7">
        <v>1.29</v>
      </c>
      <c r="G7">
        <v>-14.86</v>
      </c>
      <c r="H7">
        <v>-25.64</v>
      </c>
      <c r="I7">
        <v>-36.76</v>
      </c>
      <c r="J7">
        <v>-42.87</v>
      </c>
      <c r="K7">
        <v>-49.33</v>
      </c>
      <c r="L7">
        <v>-56.87</v>
      </c>
      <c r="M7">
        <v>-68.36</v>
      </c>
      <c r="N7">
        <v>-77.69</v>
      </c>
      <c r="O7">
        <v>-84.16</v>
      </c>
      <c r="P7">
        <v>-90.1</v>
      </c>
      <c r="Q7">
        <v>-99.233999999999995</v>
      </c>
      <c r="R7">
        <v>-82</v>
      </c>
      <c r="S7">
        <v>-65.48</v>
      </c>
      <c r="T7">
        <v>-47.537999999999997</v>
      </c>
      <c r="U7">
        <v>-26.72</v>
      </c>
      <c r="V7">
        <v>-6.2530000000000001</v>
      </c>
      <c r="W7">
        <v>31.442</v>
      </c>
    </row>
    <row r="8" spans="1:37" x14ac:dyDescent="0.3">
      <c r="A8" s="3"/>
      <c r="B8" s="4" t="s">
        <v>47</v>
      </c>
      <c r="C8" s="30"/>
      <c r="D8">
        <v>622.09299999999996</v>
      </c>
      <c r="E8">
        <v>620.57899999999995</v>
      </c>
      <c r="F8">
        <v>621.33600000000001</v>
      </c>
      <c r="G8">
        <v>621.34</v>
      </c>
      <c r="H8">
        <v>621.33600000000001</v>
      </c>
      <c r="I8">
        <v>620.58000000000004</v>
      </c>
      <c r="J8">
        <v>622.85</v>
      </c>
      <c r="K8">
        <v>622.09299999999996</v>
      </c>
      <c r="L8">
        <v>621.33600000000001</v>
      </c>
      <c r="M8">
        <v>623.04999999999995</v>
      </c>
      <c r="N8">
        <v>623.33600000000001</v>
      </c>
      <c r="O8">
        <v>620.57899999999995</v>
      </c>
      <c r="P8">
        <v>622.85</v>
      </c>
      <c r="Q8">
        <v>621.33600000000001</v>
      </c>
      <c r="R8">
        <v>621.33600000000001</v>
      </c>
      <c r="S8">
        <v>622.09</v>
      </c>
      <c r="T8">
        <v>622.6</v>
      </c>
      <c r="U8">
        <v>622.85</v>
      </c>
      <c r="V8">
        <v>621.33600000000001</v>
      </c>
      <c r="W8">
        <v>620.57899999999995</v>
      </c>
    </row>
    <row r="9" spans="1:37" x14ac:dyDescent="0.3">
      <c r="A9" s="11" t="s">
        <v>7</v>
      </c>
      <c r="B9" s="7" t="s">
        <v>34</v>
      </c>
      <c r="C9" s="31"/>
      <c r="D9" s="1">
        <v>83</v>
      </c>
      <c r="E9" s="1">
        <v>81</v>
      </c>
      <c r="F9" s="1">
        <v>78</v>
      </c>
      <c r="G9" s="1">
        <v>75</v>
      </c>
      <c r="H9" s="1">
        <v>73</v>
      </c>
      <c r="I9" s="1">
        <v>73</v>
      </c>
      <c r="J9" s="1">
        <v>71</v>
      </c>
      <c r="K9" s="1">
        <v>71</v>
      </c>
      <c r="L9" s="1">
        <v>71</v>
      </c>
      <c r="M9" s="1">
        <v>69</v>
      </c>
      <c r="N9" s="1">
        <v>68</v>
      </c>
      <c r="O9" s="1">
        <v>71</v>
      </c>
      <c r="P9" s="1">
        <v>69</v>
      </c>
      <c r="Q9" s="1">
        <v>70</v>
      </c>
      <c r="R9" s="1">
        <v>71</v>
      </c>
      <c r="S9" s="1">
        <v>71</v>
      </c>
      <c r="T9" s="1">
        <v>73.5</v>
      </c>
      <c r="U9" s="1">
        <v>75</v>
      </c>
      <c r="V9" s="1">
        <v>77.5</v>
      </c>
      <c r="W9" s="1">
        <v>84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30"/>
      <c r="D10">
        <v>367</v>
      </c>
      <c r="E10">
        <v>367</v>
      </c>
      <c r="F10">
        <v>382</v>
      </c>
      <c r="G10">
        <v>398</v>
      </c>
      <c r="H10">
        <v>397</v>
      </c>
      <c r="I10">
        <v>403</v>
      </c>
      <c r="J10">
        <v>407</v>
      </c>
      <c r="K10">
        <v>411</v>
      </c>
      <c r="L10">
        <v>416</v>
      </c>
      <c r="M10">
        <v>422</v>
      </c>
      <c r="N10">
        <v>428</v>
      </c>
      <c r="O10">
        <v>428</v>
      </c>
      <c r="P10">
        <v>434</v>
      </c>
      <c r="Q10">
        <v>434</v>
      </c>
      <c r="R10">
        <v>425</v>
      </c>
      <c r="S10">
        <v>420</v>
      </c>
      <c r="T10">
        <v>398</v>
      </c>
      <c r="U10">
        <v>396</v>
      </c>
      <c r="V10">
        <v>386</v>
      </c>
      <c r="W10">
        <v>366</v>
      </c>
    </row>
    <row r="11" spans="1:37" x14ac:dyDescent="0.3">
      <c r="A11" s="11" t="s">
        <v>8</v>
      </c>
      <c r="B11" s="17" t="s">
        <v>9</v>
      </c>
      <c r="C11" s="3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30"/>
    </row>
    <row r="13" spans="1:37" x14ac:dyDescent="0.3">
      <c r="A13" s="12"/>
      <c r="B13" s="8" t="s">
        <v>10</v>
      </c>
      <c r="C13" s="30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30"/>
      <c r="D14">
        <v>78</v>
      </c>
      <c r="E14">
        <v>61</v>
      </c>
      <c r="F14">
        <v>55</v>
      </c>
      <c r="G14">
        <v>48</v>
      </c>
      <c r="H14">
        <v>38</v>
      </c>
      <c r="I14">
        <v>32</v>
      </c>
      <c r="J14">
        <v>30</v>
      </c>
      <c r="K14">
        <v>30</v>
      </c>
      <c r="L14">
        <v>30</v>
      </c>
      <c r="M14">
        <v>29</v>
      </c>
      <c r="N14">
        <v>28</v>
      </c>
      <c r="O14">
        <v>26</v>
      </c>
      <c r="P14">
        <v>23</v>
      </c>
      <c r="Q14">
        <v>23</v>
      </c>
      <c r="R14">
        <v>24</v>
      </c>
      <c r="S14">
        <v>29</v>
      </c>
      <c r="T14">
        <v>31</v>
      </c>
      <c r="U14">
        <v>35</v>
      </c>
      <c r="V14">
        <v>50</v>
      </c>
      <c r="W14">
        <v>88</v>
      </c>
    </row>
    <row r="15" spans="1:37" x14ac:dyDescent="0.3">
      <c r="A15" s="13"/>
      <c r="B15" s="19" t="s">
        <v>4</v>
      </c>
      <c r="C15" s="3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30">
        <f>C6*SIN(RADIANS(C9+5.15))*C13/1000</f>
        <v>0</v>
      </c>
      <c r="D16" s="16">
        <f t="shared" ref="D16:AE16" si="0">D6*SIN(RADIANS(D9+5.15))*D13/1000</f>
        <v>0.38934455560856757</v>
      </c>
      <c r="E16" s="16">
        <f t="shared" si="0"/>
        <v>1.8112948210918218</v>
      </c>
      <c r="F16" s="16">
        <f>F6*SIN(RADIANS(F9+5.15))*F13/1000</f>
        <v>4.4750917512529496</v>
      </c>
      <c r="G16" s="16">
        <f t="shared" si="0"/>
        <v>5.4446222516176634</v>
      </c>
      <c r="H16" s="16">
        <f t="shared" si="0"/>
        <v>5.9469453841091626</v>
      </c>
      <c r="I16" s="16">
        <f t="shared" si="0"/>
        <v>5.6590559428960212</v>
      </c>
      <c r="J16" s="16">
        <f t="shared" si="0"/>
        <v>6.0927652115792634</v>
      </c>
      <c r="K16" s="16">
        <f t="shared" si="0"/>
        <v>6.0976142089621366</v>
      </c>
      <c r="L16" s="16">
        <f t="shared" si="0"/>
        <v>6.3279415846485803</v>
      </c>
      <c r="M16" s="16">
        <f t="shared" si="0"/>
        <v>7.0095037627925798</v>
      </c>
      <c r="N16" s="16">
        <f t="shared" si="0"/>
        <v>7.5711771242618884</v>
      </c>
      <c r="O16" s="16">
        <f t="shared" si="0"/>
        <v>7.937808715762241</v>
      </c>
      <c r="P16" s="16">
        <f t="shared" si="0"/>
        <v>8.3306919291859725</v>
      </c>
      <c r="Q16" s="16">
        <f t="shared" si="0"/>
        <v>9.369972199445602</v>
      </c>
      <c r="R16" s="16">
        <f t="shared" si="0"/>
        <v>7.0892341737595572</v>
      </c>
      <c r="S16" s="16">
        <f t="shared" si="0"/>
        <v>5.4793670426458965</v>
      </c>
      <c r="T16" s="16">
        <f t="shared" si="0"/>
        <v>4.957246848957868</v>
      </c>
      <c r="U16" s="16">
        <f t="shared" si="0"/>
        <v>4.8935172428682936</v>
      </c>
      <c r="V16" s="16">
        <f t="shared" si="0"/>
        <v>4.5504713609212226</v>
      </c>
      <c r="W16" s="16">
        <f t="shared" si="0"/>
        <v>0.10037237370560359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15" x14ac:dyDescent="0.3">
      <c r="A17" s="3"/>
      <c r="B17" s="3"/>
      <c r="N17" s="3"/>
      <c r="O17" s="3"/>
    </row>
    <row r="18" spans="1:15" x14ac:dyDescent="0.3">
      <c r="A18" s="3"/>
      <c r="B18" t="s">
        <v>72</v>
      </c>
    </row>
    <row r="19" spans="1:15" x14ac:dyDescent="0.3">
      <c r="A19" s="3"/>
      <c r="B19" s="3"/>
    </row>
    <row r="20" spans="1:15" x14ac:dyDescent="0.3">
      <c r="A20" s="3"/>
      <c r="B20" s="3"/>
    </row>
    <row r="21" spans="1:15" x14ac:dyDescent="0.3">
      <c r="A21" s="3"/>
      <c r="B21" s="21" t="s">
        <v>52</v>
      </c>
    </row>
    <row r="22" spans="1:15" x14ac:dyDescent="0.3">
      <c r="A22" s="3"/>
      <c r="B22" s="3"/>
    </row>
    <row r="23" spans="1:15" x14ac:dyDescent="0.3">
      <c r="A23" s="3"/>
      <c r="B23" s="3"/>
    </row>
    <row r="24" spans="1:15" x14ac:dyDescent="0.3">
      <c r="A24" s="3"/>
      <c r="B24" s="3"/>
    </row>
    <row r="25" spans="1:15" x14ac:dyDescent="0.3">
      <c r="A25" s="3"/>
      <c r="B25" s="3"/>
    </row>
    <row r="26" spans="1:15" x14ac:dyDescent="0.3">
      <c r="A26" s="3"/>
      <c r="B26" s="3"/>
    </row>
    <row r="27" spans="1:15" x14ac:dyDescent="0.3">
      <c r="A27" s="3"/>
      <c r="B27" s="29" t="s">
        <v>69</v>
      </c>
    </row>
    <row r="28" spans="1:15" x14ac:dyDescent="0.3">
      <c r="A28" s="3"/>
      <c r="B28" s="3"/>
    </row>
    <row r="29" spans="1:15" x14ac:dyDescent="0.3">
      <c r="A29" s="3"/>
      <c r="B29" s="3"/>
    </row>
    <row r="30" spans="1:15" x14ac:dyDescent="0.3">
      <c r="A30" s="3"/>
      <c r="B30" s="3"/>
    </row>
    <row r="31" spans="1:15" x14ac:dyDescent="0.3">
      <c r="A31" s="3"/>
      <c r="B31" s="3"/>
    </row>
    <row r="32" spans="1:15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9E9-F1B4-4DAB-B7CA-9BCB2303132C}">
  <dimension ref="A1:AJ15"/>
  <sheetViews>
    <sheetView workbookViewId="0">
      <selection activeCell="D13" sqref="D13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18</v>
      </c>
    </row>
    <row r="3" spans="1:36" x14ac:dyDescent="0.3">
      <c r="B3" s="3" t="s">
        <v>14</v>
      </c>
      <c r="C3">
        <f>C2-C2*0.17</f>
        <v>402.55</v>
      </c>
    </row>
    <row r="4" spans="1:36" x14ac:dyDescent="0.3">
      <c r="B4" s="3" t="s">
        <v>17</v>
      </c>
      <c r="C4">
        <v>398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B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ref="AC5:AI5" si="1">AB5+1</f>
        <v>27</v>
      </c>
      <c r="AD5" s="10">
        <f t="shared" si="1"/>
        <v>28</v>
      </c>
      <c r="AE5" s="10">
        <f t="shared" si="1"/>
        <v>29</v>
      </c>
      <c r="AF5" s="10">
        <f t="shared" si="1"/>
        <v>30</v>
      </c>
      <c r="AG5" s="10">
        <f t="shared" si="1"/>
        <v>31</v>
      </c>
      <c r="AH5" s="10">
        <f t="shared" si="1"/>
        <v>32</v>
      </c>
      <c r="AI5" s="10">
        <f t="shared" si="1"/>
        <v>33</v>
      </c>
    </row>
    <row r="6" spans="1:36" x14ac:dyDescent="0.3">
      <c r="B6" s="5" t="s">
        <v>1</v>
      </c>
      <c r="C6">
        <v>51.203000000000003</v>
      </c>
      <c r="D6">
        <v>48.398000000000003</v>
      </c>
      <c r="E6">
        <v>46.283999999999999</v>
      </c>
      <c r="F6">
        <v>49.966000000000001</v>
      </c>
      <c r="G6">
        <v>46.258000000000003</v>
      </c>
      <c r="H6">
        <v>42.865000000000002</v>
      </c>
      <c r="I6">
        <v>28.888999999999999</v>
      </c>
      <c r="J6">
        <v>24.26</v>
      </c>
      <c r="K6">
        <v>18.155999999999999</v>
      </c>
      <c r="L6">
        <v>10.234</v>
      </c>
      <c r="M6">
        <v>4.266</v>
      </c>
      <c r="N6">
        <v>0.39300000000000002</v>
      </c>
      <c r="O6">
        <v>5.4537000000000004</v>
      </c>
      <c r="P6">
        <v>11.362</v>
      </c>
      <c r="Q6">
        <v>17.478000000000002</v>
      </c>
      <c r="R6">
        <v>24.577000000000002</v>
      </c>
      <c r="S6">
        <v>31.812999999999999</v>
      </c>
      <c r="T6">
        <v>37.369</v>
      </c>
      <c r="U6">
        <v>42.365000000000002</v>
      </c>
      <c r="V6">
        <v>47.408000000000001</v>
      </c>
      <c r="W6">
        <v>50.768000000000001</v>
      </c>
      <c r="X6">
        <v>53.197000000000003</v>
      </c>
      <c r="Y6">
        <v>52.39</v>
      </c>
      <c r="Z6">
        <v>52.238999999999997</v>
      </c>
      <c r="AA6">
        <v>50.945</v>
      </c>
      <c r="AB6">
        <v>46.247</v>
      </c>
      <c r="AC6">
        <v>39.781999999999996</v>
      </c>
      <c r="AD6">
        <v>30.405999999999999</v>
      </c>
    </row>
    <row r="7" spans="1:36" x14ac:dyDescent="0.3">
      <c r="B7" s="6" t="s">
        <v>2</v>
      </c>
      <c r="C7">
        <v>-5.5</v>
      </c>
      <c r="D7">
        <v>-10.5</v>
      </c>
      <c r="E7">
        <v>-25.5</v>
      </c>
      <c r="F7">
        <v>-4.5</v>
      </c>
      <c r="G7">
        <v>-14.5</v>
      </c>
      <c r="H7">
        <v>-20</v>
      </c>
      <c r="I7">
        <v>-33</v>
      </c>
      <c r="J7">
        <v>-39.5</v>
      </c>
      <c r="K7">
        <v>-43</v>
      </c>
      <c r="L7">
        <v>-50</v>
      </c>
      <c r="M7">
        <v>-62.5</v>
      </c>
      <c r="N7">
        <v>-60</v>
      </c>
      <c r="O7">
        <v>-55</v>
      </c>
      <c r="P7">
        <v>-53.5</v>
      </c>
      <c r="Q7">
        <v>-46</v>
      </c>
      <c r="R7">
        <v>-40</v>
      </c>
      <c r="S7">
        <v>-36.5</v>
      </c>
      <c r="T7">
        <v>-33.5</v>
      </c>
      <c r="U7">
        <v>-29.5</v>
      </c>
      <c r="V7">
        <v>-24.5</v>
      </c>
      <c r="W7">
        <v>-17.5</v>
      </c>
      <c r="X7">
        <v>-14.5</v>
      </c>
      <c r="Y7">
        <v>-5.5</v>
      </c>
      <c r="Z7">
        <v>-3</v>
      </c>
      <c r="AA7">
        <v>-0.5</v>
      </c>
      <c r="AB7">
        <v>3.5</v>
      </c>
      <c r="AC7">
        <v>11.5</v>
      </c>
      <c r="AD7">
        <v>19.5</v>
      </c>
    </row>
    <row r="8" spans="1:36" s="1" customFormat="1" x14ac:dyDescent="0.3">
      <c r="A8" s="11" t="s">
        <v>7</v>
      </c>
      <c r="B8" s="7" t="s">
        <v>12</v>
      </c>
      <c r="C8" s="1">
        <v>87</v>
      </c>
      <c r="D8" s="1">
        <v>82.5</v>
      </c>
      <c r="E8" s="1">
        <v>94.5</v>
      </c>
      <c r="F8" s="1">
        <v>115.1</v>
      </c>
      <c r="G8" s="1">
        <v>114.6</v>
      </c>
      <c r="H8" s="1">
        <v>117.3</v>
      </c>
      <c r="I8" s="1">
        <v>115.4</v>
      </c>
      <c r="J8" s="1">
        <v>116.8</v>
      </c>
      <c r="K8" s="1">
        <v>114.9</v>
      </c>
      <c r="L8" s="1">
        <v>113</v>
      </c>
      <c r="M8" s="1">
        <v>108.9</v>
      </c>
      <c r="N8" s="1">
        <v>110.8</v>
      </c>
      <c r="O8" s="1">
        <v>112.3</v>
      </c>
      <c r="P8" s="1">
        <v>110.5</v>
      </c>
      <c r="Q8" s="1">
        <v>112</v>
      </c>
      <c r="R8" s="1">
        <v>111.3</v>
      </c>
      <c r="S8" s="1">
        <v>115.7</v>
      </c>
      <c r="T8" s="1">
        <v>116.6</v>
      </c>
      <c r="U8" s="1">
        <v>115.4</v>
      </c>
      <c r="V8" s="1">
        <v>113.5</v>
      </c>
      <c r="W8" s="1">
        <v>118.9</v>
      </c>
      <c r="X8" s="1">
        <v>115.5</v>
      </c>
      <c r="Y8" s="1">
        <v>116.5</v>
      </c>
      <c r="Z8" s="1">
        <v>117.7</v>
      </c>
      <c r="AA8" s="1">
        <v>117.4</v>
      </c>
      <c r="AB8" s="1">
        <v>119</v>
      </c>
      <c r="AC8" s="1">
        <v>115.1</v>
      </c>
      <c r="AD8" s="1">
        <v>118.5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461.5</v>
      </c>
      <c r="D10">
        <v>456</v>
      </c>
      <c r="E10">
        <v>450.5</v>
      </c>
      <c r="F10">
        <v>460.5</v>
      </c>
      <c r="G10">
        <v>452</v>
      </c>
      <c r="H10">
        <v>449</v>
      </c>
      <c r="I10">
        <v>432</v>
      </c>
      <c r="J10">
        <v>428</v>
      </c>
      <c r="K10">
        <v>423</v>
      </c>
      <c r="L10">
        <v>415</v>
      </c>
      <c r="M10">
        <v>409.5</v>
      </c>
      <c r="N10">
        <v>406</v>
      </c>
      <c r="O10">
        <v>410</v>
      </c>
      <c r="P10">
        <v>414.5</v>
      </c>
      <c r="Q10">
        <v>420.5</v>
      </c>
      <c r="R10">
        <v>426</v>
      </c>
      <c r="S10">
        <v>430</v>
      </c>
      <c r="T10">
        <v>433.5</v>
      </c>
      <c r="U10" s="2">
        <v>441</v>
      </c>
      <c r="V10" s="2">
        <v>445</v>
      </c>
      <c r="W10" s="2">
        <v>451</v>
      </c>
      <c r="X10" s="2">
        <v>454</v>
      </c>
      <c r="Y10" s="2">
        <v>455.5</v>
      </c>
      <c r="Z10" s="2">
        <v>458.5</v>
      </c>
      <c r="AA10" s="2">
        <v>462</v>
      </c>
      <c r="AB10" s="2">
        <v>461.5</v>
      </c>
      <c r="AC10" s="2">
        <v>465</v>
      </c>
      <c r="AD10" s="2">
        <v>467</v>
      </c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265</v>
      </c>
      <c r="D12">
        <v>265</v>
      </c>
      <c r="E12">
        <v>265</v>
      </c>
      <c r="F12">
        <v>300</v>
      </c>
      <c r="G12">
        <v>300</v>
      </c>
      <c r="H12">
        <v>300</v>
      </c>
      <c r="I12">
        <v>300</v>
      </c>
      <c r="J12">
        <v>300</v>
      </c>
      <c r="K12">
        <v>300</v>
      </c>
      <c r="L12">
        <v>300</v>
      </c>
      <c r="M12">
        <v>300</v>
      </c>
      <c r="N12">
        <v>300</v>
      </c>
      <c r="O12">
        <v>300</v>
      </c>
      <c r="P12">
        <v>300</v>
      </c>
      <c r="Q12">
        <v>300</v>
      </c>
      <c r="R12">
        <v>300</v>
      </c>
      <c r="S12">
        <v>300</v>
      </c>
      <c r="T12">
        <v>310</v>
      </c>
      <c r="U12">
        <v>310</v>
      </c>
      <c r="V12">
        <v>310</v>
      </c>
      <c r="W12">
        <v>310</v>
      </c>
      <c r="X12">
        <v>310</v>
      </c>
      <c r="Y12">
        <v>310</v>
      </c>
      <c r="Z12">
        <v>310</v>
      </c>
      <c r="AA12">
        <v>310</v>
      </c>
      <c r="AB12">
        <v>310</v>
      </c>
      <c r="AC12">
        <v>310</v>
      </c>
      <c r="AD12">
        <v>310</v>
      </c>
    </row>
    <row r="13" spans="1:36" x14ac:dyDescent="0.3">
      <c r="A13" s="12"/>
      <c r="B13" s="8" t="s">
        <v>11</v>
      </c>
      <c r="C13">
        <v>62</v>
      </c>
      <c r="D13">
        <v>74</v>
      </c>
      <c r="E13">
        <v>76</v>
      </c>
      <c r="F13">
        <v>64</v>
      </c>
      <c r="G13">
        <v>72</v>
      </c>
      <c r="H13">
        <v>76</v>
      </c>
      <c r="I13">
        <v>79.5</v>
      </c>
      <c r="J13">
        <v>81.5</v>
      </c>
      <c r="K13">
        <v>77</v>
      </c>
      <c r="L13">
        <v>81</v>
      </c>
      <c r="M13">
        <v>74</v>
      </c>
      <c r="N13">
        <v>68</v>
      </c>
      <c r="O13">
        <v>74</v>
      </c>
      <c r="P13">
        <v>77</v>
      </c>
      <c r="Q13">
        <v>75</v>
      </c>
      <c r="R13">
        <v>79</v>
      </c>
      <c r="S13">
        <v>80</v>
      </c>
      <c r="T13">
        <v>78</v>
      </c>
      <c r="U13">
        <v>79</v>
      </c>
      <c r="V13">
        <v>77</v>
      </c>
      <c r="W13">
        <v>75.5</v>
      </c>
      <c r="X13">
        <v>72</v>
      </c>
      <c r="Y13">
        <v>61.5</v>
      </c>
      <c r="Z13">
        <v>62.5</v>
      </c>
      <c r="AA13">
        <v>54.5</v>
      </c>
      <c r="AB13">
        <v>48</v>
      </c>
      <c r="AC13">
        <v>38.5</v>
      </c>
      <c r="AD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 t="shared" ref="C15:AI15" si="2">C6*-SIN(RADIANS(C8))*C12/1000</f>
        <v>-13.550199438030189</v>
      </c>
      <c r="D15">
        <f t="shared" si="2"/>
        <v>-12.715746326203965</v>
      </c>
      <c r="E15">
        <f t="shared" si="2"/>
        <v>-12.227450296743585</v>
      </c>
      <c r="F15">
        <f t="shared" si="2"/>
        <v>-13.574295183417183</v>
      </c>
      <c r="G15">
        <f t="shared" si="2"/>
        <v>-12.617833179689791</v>
      </c>
      <c r="H15">
        <f t="shared" si="2"/>
        <v>-11.427173303326315</v>
      </c>
      <c r="I15">
        <f t="shared" si="2"/>
        <v>-7.8289359826583684</v>
      </c>
      <c r="J15">
        <f t="shared" si="2"/>
        <v>-6.4962395866945686</v>
      </c>
      <c r="K15">
        <f t="shared" si="2"/>
        <v>-4.9404873370427511</v>
      </c>
      <c r="L15">
        <f t="shared" si="2"/>
        <v>-2.8261340010696823</v>
      </c>
      <c r="M15">
        <f t="shared" si="2"/>
        <v>-1.2108000422274927</v>
      </c>
      <c r="N15">
        <f t="shared" si="2"/>
        <v>-0.11021594724709009</v>
      </c>
      <c r="O15">
        <f t="shared" si="2"/>
        <v>-1.5137448723481624</v>
      </c>
      <c r="P15">
        <f t="shared" si="2"/>
        <v>-3.1927408242720881</v>
      </c>
      <c r="Q15">
        <f t="shared" si="2"/>
        <v>-4.8615958230354943</v>
      </c>
      <c r="R15">
        <f t="shared" si="2"/>
        <v>-6.8694525901110115</v>
      </c>
      <c r="S15">
        <f t="shared" si="2"/>
        <v>-8.5997889837959107</v>
      </c>
      <c r="T15">
        <f t="shared" si="2"/>
        <v>-10.35823139969961</v>
      </c>
      <c r="U15">
        <f t="shared" si="2"/>
        <v>-11.863637901467659</v>
      </c>
      <c r="V15">
        <f t="shared" si="2"/>
        <v>-13.477555041999489</v>
      </c>
      <c r="W15">
        <f t="shared" si="2"/>
        <v>-13.77813076308844</v>
      </c>
      <c r="X15">
        <f t="shared" si="2"/>
        <v>-14.884597105183458</v>
      </c>
      <c r="Y15">
        <f t="shared" si="2"/>
        <v>-14.534539473342328</v>
      </c>
      <c r="Z15">
        <f t="shared" si="2"/>
        <v>-14.338144060893327</v>
      </c>
      <c r="AA15">
        <f t="shared" si="2"/>
        <v>-14.021223986689929</v>
      </c>
      <c r="AB15">
        <f t="shared" si="2"/>
        <v>-12.539046654783448</v>
      </c>
      <c r="AC15">
        <f t="shared" si="2"/>
        <v>-11.167854768300959</v>
      </c>
      <c r="AD15">
        <f t="shared" si="2"/>
        <v>-8.2836070695559112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</row>
  </sheetData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644-2BFB-4EA7-BEAA-4598893697AD}">
  <dimension ref="A1:AJ29"/>
  <sheetViews>
    <sheetView topLeftCell="B1" workbookViewId="0">
      <selection activeCell="E22" sqref="E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21</v>
      </c>
    </row>
    <row r="3" spans="1:36" x14ac:dyDescent="0.3">
      <c r="B3" s="3" t="s">
        <v>14</v>
      </c>
      <c r="C3">
        <f>C2-C2*0.17</f>
        <v>402.55</v>
      </c>
      <c r="F3" t="s">
        <v>41</v>
      </c>
    </row>
    <row r="4" spans="1:36" x14ac:dyDescent="0.3">
      <c r="B4" s="3" t="s">
        <v>17</v>
      </c>
      <c r="C4">
        <v>398</v>
      </c>
      <c r="L4" t="s">
        <v>16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43.774000000000001</v>
      </c>
      <c r="D6">
        <v>43.682000000000002</v>
      </c>
      <c r="E6">
        <v>45.475000000000001</v>
      </c>
      <c r="F6">
        <v>41.618000000000002</v>
      </c>
      <c r="G6">
        <v>34.204000000000001</v>
      </c>
      <c r="H6">
        <v>27.984999999999999</v>
      </c>
      <c r="I6">
        <v>18.039000000000001</v>
      </c>
      <c r="J6">
        <v>6.0835999999999997</v>
      </c>
      <c r="K6">
        <v>2.9384000000000001</v>
      </c>
      <c r="L6">
        <v>1.2999999999999999E-2</v>
      </c>
      <c r="M6">
        <v>7.3449999999999998</v>
      </c>
      <c r="N6">
        <v>15.176</v>
      </c>
      <c r="O6">
        <v>23.530999999999999</v>
      </c>
      <c r="P6">
        <v>29.727</v>
      </c>
      <c r="Q6">
        <v>38.637999999999998</v>
      </c>
      <c r="R6">
        <v>46.064999999999998</v>
      </c>
      <c r="S6">
        <v>50.881999999999998</v>
      </c>
      <c r="T6">
        <v>53.805999999999997</v>
      </c>
      <c r="U6">
        <v>53.527999999999999</v>
      </c>
      <c r="V6">
        <v>48.012999999999998</v>
      </c>
    </row>
    <row r="7" spans="1:36" x14ac:dyDescent="0.3">
      <c r="B7" s="6" t="s">
        <v>2</v>
      </c>
      <c r="C7">
        <v>6</v>
      </c>
      <c r="D7">
        <v>5.5</v>
      </c>
      <c r="E7">
        <v>-1</v>
      </c>
      <c r="F7">
        <v>-15</v>
      </c>
      <c r="G7">
        <v>-26.6</v>
      </c>
      <c r="H7">
        <v>-35</v>
      </c>
      <c r="I7">
        <v>-42.5</v>
      </c>
      <c r="J7">
        <v>-56</v>
      </c>
      <c r="K7">
        <v>-56</v>
      </c>
      <c r="L7">
        <v>-63</v>
      </c>
      <c r="M7">
        <v>-64</v>
      </c>
      <c r="N7">
        <v>-55</v>
      </c>
      <c r="O7">
        <v>-48</v>
      </c>
      <c r="P7">
        <v>-42</v>
      </c>
      <c r="Q7">
        <v>-35</v>
      </c>
      <c r="R7">
        <v>-26</v>
      </c>
      <c r="S7">
        <v>-19</v>
      </c>
      <c r="T7">
        <v>-11</v>
      </c>
      <c r="U7">
        <v>0.5</v>
      </c>
      <c r="V7">
        <v>11.5</v>
      </c>
    </row>
    <row r="8" spans="1:36" s="1" customFormat="1" x14ac:dyDescent="0.3">
      <c r="A8" s="11" t="s">
        <v>7</v>
      </c>
      <c r="B8" s="7" t="s">
        <v>12</v>
      </c>
      <c r="C8" s="1">
        <v>92.7</v>
      </c>
      <c r="D8" s="1">
        <v>91</v>
      </c>
      <c r="E8" s="1">
        <v>94.5</v>
      </c>
      <c r="F8" s="1">
        <v>93</v>
      </c>
      <c r="G8" s="1">
        <v>95.6</v>
      </c>
      <c r="H8" s="1">
        <v>94.1</v>
      </c>
      <c r="I8" s="1">
        <v>91.9</v>
      </c>
      <c r="J8" s="1">
        <v>91.7</v>
      </c>
      <c r="K8" s="1">
        <v>92.2</v>
      </c>
      <c r="L8" s="1">
        <v>91.1</v>
      </c>
      <c r="M8" s="1">
        <v>90</v>
      </c>
      <c r="N8" s="1">
        <v>92.1</v>
      </c>
      <c r="O8" s="1">
        <v>92.1</v>
      </c>
      <c r="P8" s="1">
        <v>92.6</v>
      </c>
      <c r="Q8" s="1">
        <v>93.7</v>
      </c>
      <c r="R8" s="1">
        <v>93.8</v>
      </c>
      <c r="S8" s="1">
        <v>95.4</v>
      </c>
      <c r="T8" s="1">
        <v>96.9</v>
      </c>
      <c r="U8" s="1">
        <v>94.5</v>
      </c>
      <c r="V8" s="1">
        <v>95.1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467</v>
      </c>
      <c r="D10">
        <v>466</v>
      </c>
      <c r="E10">
        <v>463</v>
      </c>
      <c r="F10">
        <v>450</v>
      </c>
      <c r="G10">
        <v>443</v>
      </c>
      <c r="H10">
        <v>431</v>
      </c>
      <c r="I10">
        <v>423</v>
      </c>
      <c r="J10">
        <v>411</v>
      </c>
      <c r="K10">
        <v>408</v>
      </c>
      <c r="L10">
        <v>404</v>
      </c>
      <c r="M10">
        <v>407</v>
      </c>
      <c r="N10">
        <v>413</v>
      </c>
      <c r="O10">
        <v>420</v>
      </c>
      <c r="P10">
        <v>422</v>
      </c>
      <c r="Q10">
        <v>433</v>
      </c>
      <c r="R10">
        <v>442</v>
      </c>
      <c r="S10">
        <v>448</v>
      </c>
      <c r="T10">
        <v>455</v>
      </c>
      <c r="U10" s="2">
        <v>460</v>
      </c>
      <c r="V10" s="2">
        <v>466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45</v>
      </c>
      <c r="D13">
        <v>50</v>
      </c>
      <c r="E13">
        <v>55</v>
      </c>
      <c r="F13">
        <v>65</v>
      </c>
      <c r="G13">
        <v>70</v>
      </c>
      <c r="H13">
        <v>74</v>
      </c>
      <c r="I13">
        <v>73</v>
      </c>
      <c r="J13">
        <v>72</v>
      </c>
      <c r="K13">
        <v>65</v>
      </c>
      <c r="L13">
        <v>63</v>
      </c>
      <c r="M13">
        <v>66</v>
      </c>
      <c r="N13">
        <v>71</v>
      </c>
      <c r="O13">
        <v>75</v>
      </c>
      <c r="P13">
        <v>75</v>
      </c>
      <c r="Q13">
        <v>76</v>
      </c>
      <c r="R13">
        <v>75</v>
      </c>
      <c r="S13">
        <v>69</v>
      </c>
      <c r="T13">
        <v>65</v>
      </c>
      <c r="U13">
        <v>56</v>
      </c>
      <c r="V13">
        <v>44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-12.024486481310953</v>
      </c>
      <c r="D15">
        <f t="shared" ref="D15:AI15" si="1">D6*-SIN(RADIANS(D8))*D12/1000</f>
        <v>-12.010720430450908</v>
      </c>
      <c r="E15">
        <f t="shared" si="1"/>
        <v>-12.467074331666348</v>
      </c>
      <c r="F15">
        <f t="shared" si="1"/>
        <v>-11.429265093789359</v>
      </c>
      <c r="G15">
        <f t="shared" si="1"/>
        <v>-9.361208446969103</v>
      </c>
      <c r="H15">
        <f t="shared" si="1"/>
        <v>-7.6761795853386783</v>
      </c>
      <c r="I15">
        <f t="shared" si="1"/>
        <v>-4.9579976724776733</v>
      </c>
      <c r="J15">
        <f t="shared" si="1"/>
        <v>-1.6722536503811283</v>
      </c>
      <c r="K15">
        <f t="shared" si="1"/>
        <v>-0.80746439223476663</v>
      </c>
      <c r="L15">
        <f t="shared" si="1"/>
        <v>-3.5743411708348779E-3</v>
      </c>
      <c r="M15">
        <f t="shared" si="1"/>
        <v>-2.0198749999999999</v>
      </c>
      <c r="N15">
        <f t="shared" si="1"/>
        <v>-4.1705971185958441</v>
      </c>
      <c r="O15">
        <f t="shared" si="1"/>
        <v>-6.4666790193515293</v>
      </c>
      <c r="P15">
        <f t="shared" si="1"/>
        <v>-8.1665094852463582</v>
      </c>
      <c r="Q15">
        <f t="shared" si="1"/>
        <v>-10.603302506170124</v>
      </c>
      <c r="R15">
        <f t="shared" si="1"/>
        <v>-12.640024275140153</v>
      </c>
      <c r="S15">
        <f t="shared" si="1"/>
        <v>-13.930450567806828</v>
      </c>
      <c r="T15">
        <f t="shared" si="1"/>
        <v>-14.689482923460329</v>
      </c>
      <c r="U15">
        <f t="shared" si="1"/>
        <v>-14.674822536018389</v>
      </c>
      <c r="V15">
        <f t="shared" si="1"/>
        <v>-13.151302910231001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L16" t="s">
        <v>19</v>
      </c>
    </row>
    <row r="29" spans="18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8D160-17A5-469E-8CF6-067E3CB95279}">
  <dimension ref="A1:AJ29"/>
  <sheetViews>
    <sheetView workbookViewId="0">
      <selection activeCell="B22" sqref="B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457</v>
      </c>
      <c r="F2" t="s">
        <v>18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384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67.698999999999998</v>
      </c>
      <c r="D6">
        <v>53.807000000000002</v>
      </c>
      <c r="E6">
        <v>40.158999999999999</v>
      </c>
      <c r="F6">
        <v>29.155000000000001</v>
      </c>
      <c r="G6">
        <v>19.347000000000001</v>
      </c>
      <c r="H6">
        <v>18.911000000000001</v>
      </c>
      <c r="I6">
        <v>10.577</v>
      </c>
      <c r="J6">
        <v>6.6810999999999998</v>
      </c>
      <c r="K6">
        <v>3.8237000000000001</v>
      </c>
      <c r="L6">
        <v>2.0994000000000002</v>
      </c>
    </row>
    <row r="7" spans="1:36" x14ac:dyDescent="0.3">
      <c r="B7" s="6" t="s">
        <v>2</v>
      </c>
      <c r="C7">
        <v>-41</v>
      </c>
      <c r="D7">
        <v>-45</v>
      </c>
      <c r="E7">
        <v>-57</v>
      </c>
      <c r="F7">
        <v>-63</v>
      </c>
      <c r="G7">
        <v>-77</v>
      </c>
      <c r="H7">
        <v>-75</v>
      </c>
      <c r="I7">
        <v>-80</v>
      </c>
      <c r="J7">
        <v>-90</v>
      </c>
      <c r="K7">
        <v>-95</v>
      </c>
      <c r="L7">
        <v>-105</v>
      </c>
    </row>
    <row r="8" spans="1:36" s="1" customFormat="1" x14ac:dyDescent="0.3">
      <c r="A8" s="11" t="s">
        <v>7</v>
      </c>
      <c r="B8" s="7" t="s">
        <v>12</v>
      </c>
      <c r="C8" s="1">
        <v>71.2</v>
      </c>
      <c r="D8" s="1">
        <v>75.3</v>
      </c>
      <c r="E8" s="1">
        <v>72.7</v>
      </c>
      <c r="F8" s="1">
        <v>74.2</v>
      </c>
      <c r="G8" s="1">
        <v>81.599999999999994</v>
      </c>
      <c r="H8" s="1">
        <v>76.099999999999994</v>
      </c>
      <c r="I8" s="1">
        <v>76.900000000000006</v>
      </c>
      <c r="J8" s="1">
        <v>79.599999999999994</v>
      </c>
      <c r="K8" s="1">
        <v>78</v>
      </c>
      <c r="L8" s="1">
        <v>76.599999999999994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428</v>
      </c>
      <c r="D10">
        <v>418</v>
      </c>
      <c r="E10">
        <v>409.5</v>
      </c>
      <c r="F10">
        <v>405.5</v>
      </c>
      <c r="G10">
        <v>395</v>
      </c>
      <c r="H10">
        <v>396</v>
      </c>
      <c r="I10">
        <v>390</v>
      </c>
      <c r="J10">
        <v>384</v>
      </c>
      <c r="K10">
        <v>381</v>
      </c>
      <c r="L10">
        <v>376</v>
      </c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80</v>
      </c>
      <c r="D13">
        <v>81</v>
      </c>
      <c r="E13">
        <v>78</v>
      </c>
      <c r="F13">
        <v>76</v>
      </c>
      <c r="G13">
        <v>62</v>
      </c>
      <c r="H13">
        <v>62.5</v>
      </c>
      <c r="I13">
        <v>60</v>
      </c>
      <c r="J13">
        <v>48</v>
      </c>
      <c r="K13">
        <v>34</v>
      </c>
      <c r="L13">
        <v>26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-17.623982271657447</v>
      </c>
      <c r="D15">
        <f t="shared" ref="D15:AI15" si="1">D6*-SIN(RADIANS(D8))*D12/1000</f>
        <v>-14.312588392743191</v>
      </c>
      <c r="E15">
        <f t="shared" si="1"/>
        <v>-10.544115710489031</v>
      </c>
      <c r="F15">
        <f t="shared" si="1"/>
        <v>-7.714703040370237</v>
      </c>
      <c r="G15">
        <f t="shared" si="1"/>
        <v>-5.2633492521046072</v>
      </c>
      <c r="H15">
        <f t="shared" si="1"/>
        <v>-5.0482353303594207</v>
      </c>
      <c r="I15">
        <f t="shared" si="1"/>
        <v>-2.8329795466253955</v>
      </c>
      <c r="J15">
        <f t="shared" si="1"/>
        <v>-1.807118322254111</v>
      </c>
      <c r="K15">
        <f t="shared" si="1"/>
        <v>-1.0285393197546095</v>
      </c>
      <c r="L15">
        <f t="shared" si="1"/>
        <v>-0.56161756164602195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8" spans="10:18" x14ac:dyDescent="0.3">
      <c r="J18">
        <f>1-348/457</f>
        <v>0.23851203501094087</v>
      </c>
    </row>
    <row r="29" spans="10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B26E4-CFF3-41E2-8721-B0918FFC9B0E}">
  <dimension ref="A1:AK36"/>
  <sheetViews>
    <sheetView tabSelected="1" topLeftCell="C1" workbookViewId="0">
      <selection activeCell="P24" sqref="P24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</cols>
  <sheetData>
    <row r="1" spans="1:37" x14ac:dyDescent="0.3">
      <c r="A1" s="3" t="s">
        <v>79</v>
      </c>
      <c r="B1" s="3"/>
    </row>
    <row r="2" spans="1:37" x14ac:dyDescent="0.3">
      <c r="A2" s="3" t="s">
        <v>71</v>
      </c>
      <c r="B2" s="3"/>
      <c r="C2">
        <v>479</v>
      </c>
      <c r="E2" t="s">
        <v>80</v>
      </c>
    </row>
    <row r="3" spans="1:37" x14ac:dyDescent="0.3">
      <c r="A3" s="3" t="s">
        <v>70</v>
      </c>
      <c r="B3" s="3"/>
      <c r="C3">
        <v>413</v>
      </c>
      <c r="D3">
        <f>(C3/C2)</f>
        <v>0.86221294363256784</v>
      </c>
      <c r="E3">
        <f>1-D3</f>
        <v>0.13778705636743216</v>
      </c>
    </row>
    <row r="4" spans="1:37" x14ac:dyDescent="0.3">
      <c r="A4" s="3" t="s">
        <v>35</v>
      </c>
      <c r="B4" s="3"/>
      <c r="C4">
        <v>0</v>
      </c>
      <c r="E4" t="s">
        <v>60</v>
      </c>
      <c r="O4" s="3"/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7.6539999999999999</v>
      </c>
      <c r="D6">
        <v>16.346</v>
      </c>
      <c r="E6">
        <v>28.263000000000002</v>
      </c>
      <c r="F6">
        <v>41.6</v>
      </c>
      <c r="G6">
        <v>53.704999999999998</v>
      </c>
      <c r="H6">
        <v>59.472000000000001</v>
      </c>
      <c r="I6">
        <v>63.2</v>
      </c>
      <c r="J6">
        <v>65.655000000000001</v>
      </c>
      <c r="K6">
        <v>63.7</v>
      </c>
      <c r="L6">
        <v>61.6</v>
      </c>
      <c r="M6">
        <v>60.4</v>
      </c>
      <c r="N6">
        <v>2.2599999999999998</v>
      </c>
      <c r="O6">
        <v>9.8000000000000007</v>
      </c>
      <c r="P6">
        <v>21</v>
      </c>
      <c r="Q6">
        <v>44</v>
      </c>
      <c r="R6">
        <v>55.9</v>
      </c>
      <c r="S6">
        <v>67.599999999999994</v>
      </c>
      <c r="T6">
        <v>75.8</v>
      </c>
    </row>
    <row r="7" spans="1:37" x14ac:dyDescent="0.3">
      <c r="A7" s="3"/>
      <c r="B7" s="6" t="s">
        <v>2</v>
      </c>
      <c r="C7" s="16">
        <v>-68.718999999999994</v>
      </c>
      <c r="D7">
        <v>-61.898000000000003</v>
      </c>
      <c r="E7">
        <v>-54.359000000000002</v>
      </c>
      <c r="F7">
        <v>-46.460999999999999</v>
      </c>
      <c r="G7">
        <v>-38.204000000000001</v>
      </c>
      <c r="H7">
        <v>-32.100999999999999</v>
      </c>
      <c r="I7">
        <v>-27.8</v>
      </c>
      <c r="J7">
        <v>-24.202999999999999</v>
      </c>
      <c r="K7">
        <v>-25.6</v>
      </c>
      <c r="L7">
        <v>-16</v>
      </c>
      <c r="M7">
        <v>-20.6</v>
      </c>
      <c r="N7">
        <v>-70.81</v>
      </c>
      <c r="O7">
        <v>-63</v>
      </c>
      <c r="P7">
        <v>-53.6</v>
      </c>
      <c r="Q7">
        <v>-39.280999999999999</v>
      </c>
      <c r="R7">
        <v>-29.6</v>
      </c>
      <c r="S7">
        <v>-16.3</v>
      </c>
      <c r="T7">
        <v>-10.199999999999999</v>
      </c>
    </row>
    <row r="8" spans="1:37" x14ac:dyDescent="0.3">
      <c r="A8" s="3"/>
      <c r="B8" s="4" t="s">
        <v>47</v>
      </c>
      <c r="C8" s="16">
        <v>621.33600000000001</v>
      </c>
      <c r="D8">
        <v>623.60699999999997</v>
      </c>
      <c r="E8">
        <v>622.85</v>
      </c>
      <c r="F8">
        <v>622.85</v>
      </c>
      <c r="G8">
        <v>621.33600000000001</v>
      </c>
      <c r="H8">
        <v>621.33600000000001</v>
      </c>
      <c r="I8">
        <v>623.60699999999997</v>
      </c>
      <c r="J8">
        <v>622.85</v>
      </c>
      <c r="K8">
        <v>622.79999999999995</v>
      </c>
      <c r="L8">
        <v>623.6</v>
      </c>
      <c r="M8">
        <v>622</v>
      </c>
      <c r="N8">
        <v>626</v>
      </c>
      <c r="O8">
        <v>624</v>
      </c>
      <c r="P8">
        <v>622</v>
      </c>
      <c r="Q8">
        <v>625.1</v>
      </c>
      <c r="R8">
        <v>625.1</v>
      </c>
      <c r="S8">
        <v>623.6</v>
      </c>
      <c r="T8">
        <v>623</v>
      </c>
    </row>
    <row r="9" spans="1:37" x14ac:dyDescent="0.3">
      <c r="A9" s="11" t="s">
        <v>7</v>
      </c>
      <c r="B9" s="7" t="s">
        <v>34</v>
      </c>
      <c r="C9" s="15">
        <v>82</v>
      </c>
      <c r="D9" s="1">
        <v>86</v>
      </c>
      <c r="E9" s="1">
        <v>84.5</v>
      </c>
      <c r="F9" s="1">
        <v>98.5</v>
      </c>
      <c r="G9" s="1">
        <v>87</v>
      </c>
      <c r="H9" s="1">
        <v>86</v>
      </c>
      <c r="I9" s="1">
        <v>85</v>
      </c>
      <c r="J9" s="1">
        <v>83</v>
      </c>
      <c r="K9" s="1">
        <v>57.5</v>
      </c>
      <c r="L9" s="1">
        <v>88</v>
      </c>
      <c r="M9" s="1">
        <v>89</v>
      </c>
      <c r="N9" s="1">
        <v>84.5</v>
      </c>
      <c r="O9" s="1">
        <v>87.5</v>
      </c>
      <c r="P9" s="1">
        <v>87</v>
      </c>
      <c r="Q9" s="1">
        <v>89</v>
      </c>
      <c r="R9" s="1">
        <v>90</v>
      </c>
      <c r="S9" s="1">
        <v>88.5</v>
      </c>
      <c r="T9" s="1">
        <v>26.5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408</v>
      </c>
      <c r="D10">
        <v>410</v>
      </c>
      <c r="E10">
        <v>421</v>
      </c>
      <c r="F10">
        <v>427</v>
      </c>
      <c r="G10">
        <v>437</v>
      </c>
      <c r="H10">
        <v>441</v>
      </c>
      <c r="I10">
        <v>444</v>
      </c>
      <c r="J10">
        <v>447</v>
      </c>
      <c r="K10" s="33">
        <v>445</v>
      </c>
      <c r="L10" s="33">
        <v>452</v>
      </c>
      <c r="M10" s="33">
        <v>449</v>
      </c>
      <c r="N10" s="33">
        <v>403</v>
      </c>
      <c r="O10" s="33">
        <v>407</v>
      </c>
      <c r="P10" s="33">
        <v>415</v>
      </c>
      <c r="Q10" s="33">
        <v>430</v>
      </c>
      <c r="R10" s="33">
        <v>438</v>
      </c>
      <c r="S10" s="33">
        <v>450</v>
      </c>
      <c r="T10" s="33">
        <v>453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 s="16">
        <v>260.20999999999998</v>
      </c>
      <c r="D13" s="16">
        <v>260.20999999999998</v>
      </c>
      <c r="E13" s="16">
        <v>260.20999999999998</v>
      </c>
      <c r="F13" s="16">
        <v>260.20999999999998</v>
      </c>
      <c r="G13" s="16">
        <v>260.20999999999998</v>
      </c>
      <c r="H13" s="16">
        <v>260.20999999999998</v>
      </c>
      <c r="I13" s="16">
        <v>260.20999999999998</v>
      </c>
      <c r="J13" s="16">
        <v>260.20999999999998</v>
      </c>
      <c r="K13" s="16">
        <v>260.20999999999998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16">
        <v>62</v>
      </c>
      <c r="D14">
        <v>71</v>
      </c>
      <c r="E14">
        <v>72</v>
      </c>
      <c r="F14">
        <v>82</v>
      </c>
      <c r="G14">
        <v>82</v>
      </c>
      <c r="H14">
        <v>80</v>
      </c>
      <c r="I14">
        <v>79</v>
      </c>
      <c r="J14">
        <v>77</v>
      </c>
      <c r="K14">
        <v>75</v>
      </c>
      <c r="L14">
        <v>74</v>
      </c>
      <c r="M14">
        <v>75</v>
      </c>
      <c r="N14">
        <v>55</v>
      </c>
      <c r="O14">
        <v>65</v>
      </c>
      <c r="P14">
        <v>75</v>
      </c>
      <c r="Q14">
        <v>76</v>
      </c>
      <c r="R14">
        <v>75</v>
      </c>
      <c r="S14">
        <v>75</v>
      </c>
      <c r="T14">
        <v>67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 t="s">
        <v>81</v>
      </c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-C6*SIN(RADIANS(C9+4.96))*C13/1000</f>
        <v>-1.9888446022622024</v>
      </c>
      <c r="D16" s="16">
        <f t="shared" ref="D16:K16" si="0">-D6*SIN(RADIANS(D9+4.96))*D13/1000</f>
        <v>-4.2527956349925518</v>
      </c>
      <c r="E16" s="16">
        <f t="shared" si="0"/>
        <v>-7.3539886035989408</v>
      </c>
      <c r="F16" s="16">
        <f t="shared" si="0"/>
        <v>-10.527409285407064</v>
      </c>
      <c r="G16" s="16">
        <f t="shared" si="0"/>
        <v>-13.966402193997661</v>
      </c>
      <c r="H16" s="16">
        <f t="shared" si="0"/>
        <v>-15.473036951197667</v>
      </c>
      <c r="I16" s="16">
        <f t="shared" si="0"/>
        <v>-16.445267992387105</v>
      </c>
      <c r="J16" s="16">
        <f t="shared" si="0"/>
        <v>-17.07325998043143</v>
      </c>
      <c r="K16" s="16">
        <f t="shared" si="0"/>
        <v>-14.697192119709124</v>
      </c>
      <c r="L16" s="16">
        <f t="shared" ref="D16:AE16" si="1">-L6*SIN(RADIANS(L9+5.15))*L13/1000</f>
        <v>-15.358895091501429</v>
      </c>
      <c r="M16" s="16">
        <f t="shared" si="1"/>
        <v>-15.042937875530633</v>
      </c>
      <c r="N16" s="16">
        <f t="shared" si="1"/>
        <v>-0.56433407059449248</v>
      </c>
      <c r="O16" s="16">
        <f t="shared" si="1"/>
        <v>-2.4445410159422072</v>
      </c>
      <c r="P16" s="16">
        <f t="shared" si="1"/>
        <v>-5.2402184740344895</v>
      </c>
      <c r="Q16" s="16">
        <f t="shared" si="1"/>
        <v>-10.95843156495609</v>
      </c>
      <c r="R16" s="16">
        <f t="shared" si="1"/>
        <v>-13.902438921694182</v>
      </c>
      <c r="S16" s="16">
        <f t="shared" si="1"/>
        <v>-16.846155017276384</v>
      </c>
      <c r="T16" s="16">
        <f t="shared" si="1"/>
        <v>-9.9320795468220986</v>
      </c>
      <c r="U16" s="16">
        <f t="shared" si="1"/>
        <v>0</v>
      </c>
      <c r="V16" s="16">
        <f t="shared" si="1"/>
        <v>0</v>
      </c>
      <c r="W16" s="16">
        <f t="shared" si="1"/>
        <v>0</v>
      </c>
      <c r="X16" s="16">
        <f t="shared" si="1"/>
        <v>0</v>
      </c>
      <c r="Y16" s="16">
        <f t="shared" si="1"/>
        <v>0</v>
      </c>
      <c r="Z16" s="16">
        <f t="shared" si="1"/>
        <v>0</v>
      </c>
      <c r="AA16" s="16">
        <f t="shared" si="1"/>
        <v>0</v>
      </c>
      <c r="AB16" s="16">
        <f t="shared" si="1"/>
        <v>0</v>
      </c>
      <c r="AC16" s="16">
        <f t="shared" si="1"/>
        <v>0</v>
      </c>
      <c r="AD16" s="16">
        <f t="shared" si="1"/>
        <v>0</v>
      </c>
      <c r="AE16" s="16">
        <f t="shared" si="1"/>
        <v>0</v>
      </c>
    </row>
    <row r="17" spans="1:15" x14ac:dyDescent="0.3">
      <c r="A17" s="3"/>
      <c r="B17" s="3"/>
      <c r="N17" s="3"/>
      <c r="O17" s="3"/>
    </row>
    <row r="18" spans="1:15" x14ac:dyDescent="0.3">
      <c r="A18" s="3"/>
      <c r="B18" t="s">
        <v>72</v>
      </c>
    </row>
    <row r="19" spans="1:15" x14ac:dyDescent="0.3">
      <c r="A19" s="3"/>
      <c r="B19" s="3"/>
    </row>
    <row r="20" spans="1:15" x14ac:dyDescent="0.3">
      <c r="A20" s="3"/>
      <c r="B20" s="3"/>
    </row>
    <row r="21" spans="1:15" x14ac:dyDescent="0.3">
      <c r="A21" s="3"/>
      <c r="B21" s="21" t="s">
        <v>52</v>
      </c>
    </row>
    <row r="22" spans="1:15" x14ac:dyDescent="0.3">
      <c r="A22" s="3"/>
      <c r="B22" s="3"/>
    </row>
    <row r="23" spans="1:15" x14ac:dyDescent="0.3">
      <c r="A23" s="3"/>
      <c r="B23" s="3"/>
    </row>
    <row r="24" spans="1:15" x14ac:dyDescent="0.3">
      <c r="A24" s="3"/>
      <c r="B24" s="3"/>
    </row>
    <row r="25" spans="1:15" x14ac:dyDescent="0.3">
      <c r="A25" s="3"/>
      <c r="B25" s="3"/>
    </row>
    <row r="26" spans="1:15" x14ac:dyDescent="0.3">
      <c r="A26" s="3"/>
      <c r="B26" s="3"/>
    </row>
    <row r="27" spans="1:15" x14ac:dyDescent="0.3">
      <c r="A27" s="3"/>
      <c r="B27" s="29" t="s">
        <v>69</v>
      </c>
    </row>
    <row r="28" spans="1:15" x14ac:dyDescent="0.3">
      <c r="A28" s="3"/>
      <c r="B28" s="3"/>
    </row>
    <row r="29" spans="1:15" x14ac:dyDescent="0.3">
      <c r="A29" s="3"/>
      <c r="B29" s="3"/>
    </row>
    <row r="30" spans="1:15" x14ac:dyDescent="0.3">
      <c r="A30" s="3"/>
      <c r="B30" s="3"/>
    </row>
    <row r="31" spans="1:15" x14ac:dyDescent="0.3">
      <c r="A31" s="3"/>
      <c r="B31" s="3"/>
    </row>
    <row r="32" spans="1:15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ExtTest10mm_1</vt:lpstr>
      <vt:lpstr>ExtTest10mm_2</vt:lpstr>
      <vt:lpstr>ExtTest10mm_3</vt:lpstr>
      <vt:lpstr>ExtTest10mm_4</vt:lpstr>
      <vt:lpstr>ExtTest10mm_5</vt:lpstr>
      <vt:lpstr>ExtTest10mm_6</vt:lpstr>
      <vt:lpstr>ExtTest10mm_7</vt:lpstr>
      <vt:lpstr>ExtTest10mm_8</vt:lpstr>
      <vt:lpstr>ExtTest10mm_9</vt:lpstr>
      <vt:lpstr>ExtTest10mm_10</vt:lpstr>
      <vt:lpstr>ExtTest10mm_11</vt:lpstr>
      <vt:lpstr>ExtTest10mm_12</vt:lpstr>
      <vt:lpstr>FlxTest10mm_1</vt:lpstr>
      <vt:lpstr>FlxTest10mm_2</vt:lpstr>
      <vt:lpstr>FlxTest10mm_3</vt:lpstr>
      <vt:lpstr>FlxTest10mm_4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2026-07-22T20:03:49Z</dcterms:modified>
</cp:coreProperties>
</file>