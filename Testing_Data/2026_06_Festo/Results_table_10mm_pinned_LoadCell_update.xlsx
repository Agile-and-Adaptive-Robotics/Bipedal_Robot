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GitHub\Bipedal_Robot\Testing_Data\2026_06_Festo\"/>
    </mc:Choice>
  </mc:AlternateContent>
  <xr:revisionPtr revIDLastSave="0" documentId="13_ncr:1_{F7F898AB-F084-43EC-AA90-F511220B61E8}" xr6:coauthVersionLast="47" xr6:coauthVersionMax="47" xr10:uidLastSave="{00000000-0000-0000-0000-000000000000}"/>
  <bookViews>
    <workbookView xWindow="11910" yWindow="-16320" windowWidth="29040" windowHeight="15720" firstSheet="6" activeTab="9" xr2:uid="{FDAF32CB-2BA8-47E2-927E-3C1E6066A0C3}"/>
  </bookViews>
  <sheets>
    <sheet name="ExtTest10mm_1" sheetId="9" r:id="rId1"/>
    <sheet name="ExtTest10mm_2" sheetId="10" r:id="rId2"/>
    <sheet name="ExtTest10mm_3" sheetId="11" r:id="rId3"/>
    <sheet name="ExtTest10mm_4" sheetId="12" r:id="rId4"/>
    <sheet name="ExtTest10mm_5" sheetId="13" r:id="rId5"/>
    <sheet name="ExtTest10mm_6" sheetId="14" r:id="rId6"/>
    <sheet name="ExtTest10mm_7" sheetId="16" r:id="rId7"/>
    <sheet name="ExtTest10mm_8" sheetId="18" r:id="rId8"/>
    <sheet name="ExtTest10mm_9" sheetId="19" r:id="rId9"/>
    <sheet name="ExtTest10mm_10" sheetId="20" r:id="rId10"/>
    <sheet name="FlxTest10mm_1" sheetId="7" r:id="rId11"/>
    <sheet name="FlxTest10mm_2" sheetId="8" r:id="rId12"/>
    <sheet name="FlxTest10mm_3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20" l="1"/>
  <c r="AD16" i="20"/>
  <c r="AC16" i="20"/>
  <c r="AB16" i="20"/>
  <c r="AA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D3" i="20"/>
  <c r="E3" i="20" s="1"/>
  <c r="E3" i="19"/>
  <c r="D3" i="19"/>
  <c r="AE16" i="19"/>
  <c r="AD16" i="19"/>
  <c r="AC16" i="19"/>
  <c r="AB16" i="19"/>
  <c r="AA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AE16" i="18"/>
  <c r="AD16" i="18"/>
  <c r="AC16" i="18"/>
  <c r="AB16" i="18"/>
  <c r="AA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E10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AE16" i="16"/>
  <c r="AD16" i="16"/>
  <c r="AC16" i="16"/>
  <c r="AB16" i="16"/>
  <c r="AA16" i="16"/>
  <c r="C16" i="16"/>
  <c r="C15" i="9"/>
  <c r="C18" i="9"/>
  <c r="J18" i="15"/>
  <c r="C3" i="11" l="1"/>
  <c r="D4" i="11"/>
  <c r="D4" i="10"/>
  <c r="D4" i="12"/>
  <c r="R29" i="15" l="1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R5" i="15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Q5" i="15"/>
  <c r="C3" i="15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G15" i="14"/>
  <c r="H15" i="14"/>
  <c r="I15" i="14"/>
  <c r="J15" i="14"/>
  <c r="K15" i="14"/>
  <c r="L15" i="14"/>
  <c r="M15" i="14"/>
  <c r="N15" i="14"/>
  <c r="O15" i="14"/>
  <c r="P15" i="14"/>
  <c r="Q15" i="14"/>
  <c r="D15" i="14"/>
  <c r="E15" i="14"/>
  <c r="F15" i="14"/>
  <c r="C15" i="14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D15" i="12"/>
  <c r="C15" i="8"/>
  <c r="R29" i="8"/>
  <c r="U23" i="9"/>
  <c r="V23" i="9"/>
  <c r="W23" i="9"/>
  <c r="X23" i="9"/>
  <c r="T23" i="9"/>
  <c r="T27" i="9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C15" i="12"/>
  <c r="Q5" i="12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C3" i="12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Q5" i="1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X24" i="9" l="1"/>
  <c r="U24" i="9"/>
  <c r="V24" i="9"/>
  <c r="T24" i="9"/>
  <c r="W24" i="9"/>
  <c r="D18" i="9"/>
  <c r="E18" i="9"/>
  <c r="F18" i="9"/>
  <c r="G18" i="9"/>
  <c r="H18" i="9"/>
  <c r="I18" i="9"/>
  <c r="J18" i="9"/>
  <c r="K18" i="9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Q5" i="10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C3" i="10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Q5" i="9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C3" i="9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Q5" i="8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C3" i="8"/>
  <c r="AG15" i="7" l="1"/>
  <c r="AH15" i="7"/>
  <c r="AI15" i="7"/>
  <c r="Z15" i="7"/>
  <c r="AA15" i="7"/>
  <c r="AB15" i="7"/>
  <c r="AC15" i="7"/>
  <c r="AD15" i="7"/>
  <c r="AE15" i="7"/>
  <c r="AF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C15" i="7"/>
  <c r="Q5" i="7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tc={31540696-8989-4ECF-9DA4-105271D5E559}</author>
    <author>tc={4ABBB369-E711-4E3D-9229-46727333D172}</author>
  </authors>
  <commentList>
    <comment ref="D3" authorId="0" shapeId="0" xr:uid="{31540696-8989-4ECF-9DA4-105271D5E5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1" shapeId="0" xr:uid="{4ABBB369-E711-4E3D-9229-46727333D172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tc={BDF31CF8-F642-45F3-81CA-9C8FF04449E8}</author>
    <author>tc={C8A435E7-474C-41D6-A569-7731B05DEC1C}</author>
  </authors>
  <commentList>
    <comment ref="D3" authorId="0" shapeId="0" xr:uid="{BDF31CF8-F642-45F3-81CA-9C8FF04449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1" shapeId="0" xr:uid="{C8A435E7-474C-41D6-A569-7731B05DEC1C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</commentList>
</comments>
</file>

<file path=xl/sharedStrings.xml><?xml version="1.0" encoding="utf-8"?>
<sst xmlns="http://schemas.openxmlformats.org/spreadsheetml/2006/main" count="273" uniqueCount="55">
  <si>
    <t>Test #</t>
  </si>
  <si>
    <t>Load (N)</t>
  </si>
  <si>
    <t>Knee angle</t>
  </si>
  <si>
    <t>muscle length</t>
  </si>
  <si>
    <t>dl/dtheta</t>
  </si>
  <si>
    <t>Resting muscle length</t>
  </si>
  <si>
    <t>Torque</t>
  </si>
  <si>
    <t>Hand</t>
  </si>
  <si>
    <t>MA</t>
  </si>
  <si>
    <t>ICR (spline)</t>
  </si>
  <si>
    <t>Tibia origin (matlab)</t>
  </si>
  <si>
    <t>ICR to muscle</t>
  </si>
  <si>
    <t>Load cell angle (real ICR)</t>
  </si>
  <si>
    <t>Load cell angle (tibia)</t>
  </si>
  <si>
    <t>expected max contract</t>
  </si>
  <si>
    <t>Flexsor Test 10mm</t>
  </si>
  <si>
    <t>*</t>
  </si>
  <si>
    <t>actual max contraction</t>
  </si>
  <si>
    <t>^ Collected by Jason</t>
  </si>
  <si>
    <t>*Corrected 0 offset -16820</t>
  </si>
  <si>
    <t>corrected?</t>
  </si>
  <si>
    <t>^ Collected by Ben</t>
  </si>
  <si>
    <t>^ Collected by Jason 1-13 &amp; 19-29 , Ben 14-18</t>
  </si>
  <si>
    <t>*BPA barely starts touching screw head again</t>
  </si>
  <si>
    <t>**</t>
  </si>
  <si>
    <t>**Passive tension, uninflated</t>
  </si>
  <si>
    <t>***</t>
  </si>
  <si>
    <t>***bracket broke, failure via material pull out</t>
  </si>
  <si>
    <t>^^Collected by Ben from 18-27</t>
  </si>
  <si>
    <t>Extensor Test 10mm</t>
  </si>
  <si>
    <t>k</t>
  </si>
  <si>
    <t>rel</t>
  </si>
  <si>
    <t xml:space="preserve">kmax </t>
  </si>
  <si>
    <t>ICR (hand)</t>
  </si>
  <si>
    <t>Load cell angle</t>
  </si>
  <si>
    <t>Tendon Length</t>
  </si>
  <si>
    <t>Max contraction length</t>
  </si>
  <si>
    <t>^Collected by Jason M.</t>
  </si>
  <si>
    <t>Ext Test 5</t>
  </si>
  <si>
    <t>*routing point 4 is +20 mm in Z direction</t>
  </si>
  <si>
    <t>22mm</t>
  </si>
  <si>
    <t>*Stiffer bracket installed</t>
  </si>
  <si>
    <t>Force</t>
  </si>
  <si>
    <t>Pressure</t>
  </si>
  <si>
    <t>Festo-10 @ 6 bar, from sheet</t>
  </si>
  <si>
    <t>original</t>
  </si>
  <si>
    <t>^Collected by Ben and Moe</t>
  </si>
  <si>
    <t>Pressure (kPa)</t>
  </si>
  <si>
    <t xml:space="preserve">  </t>
  </si>
  <si>
    <t xml:space="preserve">* pretensioned to 6 N </t>
  </si>
  <si>
    <t>10 N pre tension</t>
  </si>
  <si>
    <t>7n pre T</t>
  </si>
  <si>
    <t>blue color means don't collect</t>
  </si>
  <si>
    <t>*pre of 10.5N</t>
  </si>
  <si>
    <t>*pre of 16.5N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</si>
</sst>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6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2" fillId="2" borderId="12" xfId="1" applyBorder="1"/>
    <xf numFmtId="0" fontId="2" fillId="2" borderId="0" xfId="1"/>
    <xf numFmtId="0" fontId="2" fillId="2" borderId="8" xfId="1" applyBorder="1"/>
    <xf numFmtId="0" fontId="2" fillId="2" borderId="10" xfId="1" applyBorder="1"/>
    <xf numFmtId="0" fontId="2" fillId="0" borderId="10" xfId="1" applyFill="1" applyBorder="1"/>
    <xf numFmtId="0" fontId="3" fillId="0" borderId="8" xfId="1" applyFont="1" applyFill="1" applyBorder="1"/>
    <xf numFmtId="0" fontId="3" fillId="0" borderId="0" xfId="1" applyFont="1" applyFill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0" fontId="3" fillId="0" borderId="12" xfId="1" applyFont="1" applyFill="1" applyBorder="1"/>
    <xf numFmtId="0" fontId="0" fillId="3" borderId="0" xfId="0" applyFill="1"/>
  </cellXfs>
  <cellStyles count="2">
    <cellStyle name="Bad" xfId="1" builtinId="27"/>
    <cellStyle name="Normal" xfId="0" builtinId="0"/>
  </cellStyles>
  <dxfs count="0"/>
  <tableStyles count="1" defaultTableStyle="TableStyleMedium2" defaultPivotStyle="PivotStyleLight16">
    <tableStyle name="Invisible" pivot="0" table="0" count="0" xr9:uid="{80FC17CE-DAEF-4944-81FC-831B986AF1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ExtTest10mm_1!$C$7:$AI$7</c:f>
              <c:numCache>
                <c:formatCode>General</c:formatCode>
                <c:ptCount val="33"/>
                <c:pt idx="0">
                  <c:v>-121.5</c:v>
                </c:pt>
                <c:pt idx="1">
                  <c:v>-108.5</c:v>
                </c:pt>
                <c:pt idx="2">
                  <c:v>-101.5</c:v>
                </c:pt>
                <c:pt idx="3">
                  <c:v>-94</c:v>
                </c:pt>
                <c:pt idx="4">
                  <c:v>-83</c:v>
                </c:pt>
                <c:pt idx="5">
                  <c:v>-75</c:v>
                </c:pt>
                <c:pt idx="6">
                  <c:v>-61.5</c:v>
                </c:pt>
                <c:pt idx="7">
                  <c:v>-65</c:v>
                </c:pt>
                <c:pt idx="8">
                  <c:v>-32</c:v>
                </c:pt>
                <c:pt idx="9">
                  <c:v>-18</c:v>
                </c:pt>
                <c:pt idx="10">
                  <c:v>-32.5</c:v>
                </c:pt>
                <c:pt idx="11">
                  <c:v>-47.5</c:v>
                </c:pt>
                <c:pt idx="12">
                  <c:v>-57.5</c:v>
                </c:pt>
                <c:pt idx="13">
                  <c:v>-69.5</c:v>
                </c:pt>
                <c:pt idx="14">
                  <c:v>-80</c:v>
                </c:pt>
                <c:pt idx="15">
                  <c:v>-90.5</c:v>
                </c:pt>
                <c:pt idx="16">
                  <c:v>-96.5</c:v>
                </c:pt>
                <c:pt idx="17">
                  <c:v>-104</c:v>
                </c:pt>
                <c:pt idx="18">
                  <c:v>-113.5</c:v>
                </c:pt>
                <c:pt idx="19">
                  <c:v>-123</c:v>
                </c:pt>
              </c:numCache>
            </c:numRef>
          </c:xVal>
          <c:yVal>
            <c:numRef>
              <c:f>ExtTest10mm_1!$C$15:$AI$15</c:f>
              <c:numCache>
                <c:formatCode>General</c:formatCode>
                <c:ptCount val="33"/>
                <c:pt idx="0">
                  <c:v>0.26363819717520748</c:v>
                </c:pt>
                <c:pt idx="1">
                  <c:v>4.503204045949718</c:v>
                </c:pt>
                <c:pt idx="2">
                  <c:v>4.292029850012379</c:v>
                </c:pt>
                <c:pt idx="3">
                  <c:v>4.0020278331196497</c:v>
                </c:pt>
                <c:pt idx="4">
                  <c:v>3.4170146735878646</c:v>
                </c:pt>
                <c:pt idx="5">
                  <c:v>2.8262014737182244</c:v>
                </c:pt>
                <c:pt idx="6">
                  <c:v>1.5382325084724908</c:v>
                </c:pt>
                <c:pt idx="7">
                  <c:v>1.2140844965662649</c:v>
                </c:pt>
                <c:pt idx="8">
                  <c:v>0.43920369384826125</c:v>
                </c:pt>
                <c:pt idx="9">
                  <c:v>-8.0856655753314327E-2</c:v>
                </c:pt>
                <c:pt idx="10">
                  <c:v>0.53921769785329232</c:v>
                </c:pt>
                <c:pt idx="11">
                  <c:v>1.2603498716892021</c:v>
                </c:pt>
                <c:pt idx="12">
                  <c:v>2.254964352094134</c:v>
                </c:pt>
                <c:pt idx="13">
                  <c:v>3.2076881107815294</c:v>
                </c:pt>
                <c:pt idx="14">
                  <c:v>3.8515488055553049</c:v>
                </c:pt>
                <c:pt idx="15">
                  <c:v>4.2435142825961298</c:v>
                </c:pt>
                <c:pt idx="16">
                  <c:v>4.6723060174235034</c:v>
                </c:pt>
                <c:pt idx="17">
                  <c:v>4.8735648831574281</c:v>
                </c:pt>
                <c:pt idx="18">
                  <c:v>5.1460262979956539</c:v>
                </c:pt>
                <c:pt idx="19">
                  <c:v>6.0871610983336719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28-4C3A-BF5C-DBE08FD5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ExtTest10mm_2!$C$7:$AI$7</c:f>
              <c:numCache>
                <c:formatCode>General</c:formatCode>
                <c:ptCount val="33"/>
                <c:pt idx="0">
                  <c:v>-125</c:v>
                </c:pt>
                <c:pt idx="1">
                  <c:v>-120.5</c:v>
                </c:pt>
                <c:pt idx="2">
                  <c:v>-115</c:v>
                </c:pt>
                <c:pt idx="3">
                  <c:v>-111.5</c:v>
                </c:pt>
                <c:pt idx="4">
                  <c:v>-108</c:v>
                </c:pt>
                <c:pt idx="5">
                  <c:v>-101.5</c:v>
                </c:pt>
                <c:pt idx="6">
                  <c:v>-88</c:v>
                </c:pt>
                <c:pt idx="7">
                  <c:v>-80</c:v>
                </c:pt>
                <c:pt idx="8">
                  <c:v>-71</c:v>
                </c:pt>
                <c:pt idx="9">
                  <c:v>-58</c:v>
                </c:pt>
                <c:pt idx="10">
                  <c:v>-40</c:v>
                </c:pt>
                <c:pt idx="11">
                  <c:v>-32</c:v>
                </c:pt>
                <c:pt idx="12">
                  <c:v>-17.5</c:v>
                </c:pt>
                <c:pt idx="13">
                  <c:v>-10.5</c:v>
                </c:pt>
                <c:pt idx="14">
                  <c:v>-4</c:v>
                </c:pt>
                <c:pt idx="15">
                  <c:v>2</c:v>
                </c:pt>
                <c:pt idx="16">
                  <c:v>-3.5</c:v>
                </c:pt>
                <c:pt idx="17">
                  <c:v>-16</c:v>
                </c:pt>
                <c:pt idx="18">
                  <c:v>-33.5</c:v>
                </c:pt>
                <c:pt idx="19">
                  <c:v>-48</c:v>
                </c:pt>
                <c:pt idx="20">
                  <c:v>-58.5</c:v>
                </c:pt>
                <c:pt idx="21">
                  <c:v>-72</c:v>
                </c:pt>
                <c:pt idx="22">
                  <c:v>-80</c:v>
                </c:pt>
                <c:pt idx="23">
                  <c:v>-85</c:v>
                </c:pt>
                <c:pt idx="24">
                  <c:v>-88.5</c:v>
                </c:pt>
                <c:pt idx="25">
                  <c:v>-99.5</c:v>
                </c:pt>
                <c:pt idx="26">
                  <c:v>-111.5</c:v>
                </c:pt>
                <c:pt idx="27">
                  <c:v>-114.5</c:v>
                </c:pt>
                <c:pt idx="28">
                  <c:v>-123</c:v>
                </c:pt>
              </c:numCache>
            </c:numRef>
          </c:xVal>
          <c:yVal>
            <c:numRef>
              <c:f>ExtTest10mm_2!$C$15:$AI$15</c:f>
              <c:numCache>
                <c:formatCode>General</c:formatCode>
                <c:ptCount val="33"/>
                <c:pt idx="0">
                  <c:v>6.1686922582960024</c:v>
                </c:pt>
                <c:pt idx="1">
                  <c:v>6.0729840040036489</c:v>
                </c:pt>
                <c:pt idx="2">
                  <c:v>5.9167349398453775</c:v>
                </c:pt>
                <c:pt idx="3">
                  <c:v>5.983690137549968</c:v>
                </c:pt>
                <c:pt idx="4">
                  <c:v>6.2202911938343854</c:v>
                </c:pt>
                <c:pt idx="5">
                  <c:v>5.5805949463773015</c:v>
                </c:pt>
                <c:pt idx="6">
                  <c:v>4.9816385043082114</c:v>
                </c:pt>
                <c:pt idx="7">
                  <c:v>4.5599832267718101</c:v>
                </c:pt>
                <c:pt idx="8">
                  <c:v>4.0594766934228144</c:v>
                </c:pt>
                <c:pt idx="9">
                  <c:v>3.1566420596586546</c:v>
                </c:pt>
                <c:pt idx="10">
                  <c:v>2.5653160602863676</c:v>
                </c:pt>
                <c:pt idx="11">
                  <c:v>2.1271080031609513</c:v>
                </c:pt>
                <c:pt idx="12">
                  <c:v>1.7857816656369578</c:v>
                </c:pt>
                <c:pt idx="13">
                  <c:v>0.77471598902880734</c:v>
                </c:pt>
                <c:pt idx="14">
                  <c:v>0.30969688549123514</c:v>
                </c:pt>
                <c:pt idx="15">
                  <c:v>-5.7265164305165206E-2</c:v>
                </c:pt>
                <c:pt idx="16">
                  <c:v>0.53607422919584036</c:v>
                </c:pt>
                <c:pt idx="17">
                  <c:v>2.3186689634125557</c:v>
                </c:pt>
                <c:pt idx="18">
                  <c:v>2.9903371078669587</c:v>
                </c:pt>
                <c:pt idx="19">
                  <c:v>3.6135610298166738</c:v>
                </c:pt>
                <c:pt idx="20">
                  <c:v>3.9995802012739166</c:v>
                </c:pt>
                <c:pt idx="21">
                  <c:v>4.7377824490657234</c:v>
                </c:pt>
                <c:pt idx="22">
                  <c:v>5.2913626950039561</c:v>
                </c:pt>
                <c:pt idx="23">
                  <c:v>5.5565256355866133</c:v>
                </c:pt>
                <c:pt idx="24">
                  <c:v>6.0286043979188237</c:v>
                </c:pt>
                <c:pt idx="25">
                  <c:v>6.3184288033657463</c:v>
                </c:pt>
                <c:pt idx="26">
                  <c:v>6.4167214595502848</c:v>
                </c:pt>
                <c:pt idx="27">
                  <c:v>6.6684721067822155</c:v>
                </c:pt>
                <c:pt idx="28">
                  <c:v>6.5120375248934952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53-4F24-AFB6-2777B21C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ExtTest10mm_3!$C$7:$AI$7</c:f>
              <c:numCache>
                <c:formatCode>General</c:formatCode>
                <c:ptCount val="33"/>
                <c:pt idx="0">
                  <c:v>-123</c:v>
                </c:pt>
                <c:pt idx="1">
                  <c:v>-119</c:v>
                </c:pt>
                <c:pt idx="2">
                  <c:v>-106</c:v>
                </c:pt>
                <c:pt idx="3">
                  <c:v>-92</c:v>
                </c:pt>
              </c:numCache>
            </c:numRef>
          </c:xVal>
          <c:yVal>
            <c:numRef>
              <c:f>ExtTest10mm_3!$C$15:$AI$15</c:f>
              <c:numCache>
                <c:formatCode>General</c:formatCode>
                <c:ptCount val="33"/>
                <c:pt idx="0">
                  <c:v>7.0134415686400926</c:v>
                </c:pt>
                <c:pt idx="1">
                  <c:v>4.7293509604699846</c:v>
                </c:pt>
                <c:pt idx="2">
                  <c:v>4.3461345705947148</c:v>
                </c:pt>
                <c:pt idx="3">
                  <c:v>3.4546236345151771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CC-4674-8BEF-4A4F9295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61838912899903"/>
                  <c:y val="-0.186889408108211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ExtTest10mm_4!$C$7:$AI$7</c:f>
              <c:numCache>
                <c:formatCode>General</c:formatCode>
                <c:ptCount val="33"/>
                <c:pt idx="0">
                  <c:v>-76.5</c:v>
                </c:pt>
                <c:pt idx="1">
                  <c:v>-69</c:v>
                </c:pt>
                <c:pt idx="2">
                  <c:v>-51.5</c:v>
                </c:pt>
                <c:pt idx="3">
                  <c:v>-40.5</c:v>
                </c:pt>
                <c:pt idx="4">
                  <c:v>-39.5</c:v>
                </c:pt>
                <c:pt idx="5">
                  <c:v>-55.5</c:v>
                </c:pt>
                <c:pt idx="6">
                  <c:v>-35</c:v>
                </c:pt>
                <c:pt idx="7">
                  <c:v>-25.5</c:v>
                </c:pt>
                <c:pt idx="8">
                  <c:v>-20</c:v>
                </c:pt>
                <c:pt idx="9">
                  <c:v>-12.5</c:v>
                </c:pt>
                <c:pt idx="10">
                  <c:v>-5</c:v>
                </c:pt>
                <c:pt idx="11">
                  <c:v>0.5</c:v>
                </c:pt>
                <c:pt idx="12">
                  <c:v>4</c:v>
                </c:pt>
                <c:pt idx="13">
                  <c:v>12.5</c:v>
                </c:pt>
                <c:pt idx="14">
                  <c:v>20</c:v>
                </c:pt>
                <c:pt idx="15">
                  <c:v>28</c:v>
                </c:pt>
                <c:pt idx="16">
                  <c:v>35</c:v>
                </c:pt>
                <c:pt idx="17">
                  <c:v>23</c:v>
                </c:pt>
                <c:pt idx="18">
                  <c:v>20</c:v>
                </c:pt>
                <c:pt idx="19">
                  <c:v>11</c:v>
                </c:pt>
                <c:pt idx="20">
                  <c:v>1</c:v>
                </c:pt>
                <c:pt idx="21">
                  <c:v>-16</c:v>
                </c:pt>
                <c:pt idx="22">
                  <c:v>-24</c:v>
                </c:pt>
                <c:pt idx="23">
                  <c:v>-44</c:v>
                </c:pt>
                <c:pt idx="24">
                  <c:v>-53.4</c:v>
                </c:pt>
                <c:pt idx="25">
                  <c:v>-66</c:v>
                </c:pt>
              </c:numCache>
            </c:numRef>
          </c:xVal>
          <c:yVal>
            <c:numRef>
              <c:f>ExtTest10mm_4!$C$15:$AI$15</c:f>
              <c:numCache>
                <c:formatCode>General</c:formatCode>
                <c:ptCount val="33"/>
                <c:pt idx="0">
                  <c:v>8.5047736202914699</c:v>
                </c:pt>
                <c:pt idx="1">
                  <c:v>7.5394492849781658</c:v>
                </c:pt>
                <c:pt idx="2">
                  <c:v>6.6194684828502801</c:v>
                </c:pt>
                <c:pt idx="3">
                  <c:v>5.8355816188247456</c:v>
                </c:pt>
                <c:pt idx="4">
                  <c:v>6.1203702894136685</c:v>
                </c:pt>
                <c:pt idx="5">
                  <c:v>7.0059001857849141</c:v>
                </c:pt>
                <c:pt idx="6">
                  <c:v>6.1782911841842409</c:v>
                </c:pt>
                <c:pt idx="7">
                  <c:v>6.391414397009699</c:v>
                </c:pt>
                <c:pt idx="8">
                  <c:v>5.9680455904544294</c:v>
                </c:pt>
                <c:pt idx="9">
                  <c:v>6.0991051231568809</c:v>
                </c:pt>
                <c:pt idx="10">
                  <c:v>5.937408550285844</c:v>
                </c:pt>
                <c:pt idx="11">
                  <c:v>4.880958611179155</c:v>
                </c:pt>
                <c:pt idx="12">
                  <c:v>4.3756598948371668</c:v>
                </c:pt>
                <c:pt idx="13">
                  <c:v>3.388083398389504</c:v>
                </c:pt>
                <c:pt idx="14">
                  <c:v>2.7958621930655867</c:v>
                </c:pt>
                <c:pt idx="15">
                  <c:v>1.7582375762877434</c:v>
                </c:pt>
                <c:pt idx="16">
                  <c:v>0.30675317190114915</c:v>
                </c:pt>
                <c:pt idx="17">
                  <c:v>1.7259028691611564</c:v>
                </c:pt>
                <c:pt idx="18">
                  <c:v>3.2040950443238865</c:v>
                </c:pt>
                <c:pt idx="19">
                  <c:v>5.1452227356887708</c:v>
                </c:pt>
                <c:pt idx="20">
                  <c:v>6.3042423522142954</c:v>
                </c:pt>
                <c:pt idx="21">
                  <c:v>6.8178701420600625</c:v>
                </c:pt>
                <c:pt idx="22">
                  <c:v>7.5119191588333143</c:v>
                </c:pt>
                <c:pt idx="23">
                  <c:v>7.9116485605610567</c:v>
                </c:pt>
                <c:pt idx="24">
                  <c:v>8.1105270447475082</c:v>
                </c:pt>
                <c:pt idx="25">
                  <c:v>8.8620667966654647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D1-4B3B-8B30-38083F1B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1592257217847768"/>
                  <c:y val="-0.250834062408865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972812773403326"/>
                  <c:y val="-4.49923447069116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ExtTest10mm_5!$C$7:$P$7</c:f>
              <c:numCache>
                <c:formatCode>General</c:formatCode>
                <c:ptCount val="14"/>
                <c:pt idx="0">
                  <c:v>-120</c:v>
                </c:pt>
                <c:pt idx="1">
                  <c:v>-109</c:v>
                </c:pt>
                <c:pt idx="2">
                  <c:v>-101</c:v>
                </c:pt>
                <c:pt idx="3">
                  <c:v>-97</c:v>
                </c:pt>
                <c:pt idx="4">
                  <c:v>-89</c:v>
                </c:pt>
                <c:pt idx="5">
                  <c:v>-87</c:v>
                </c:pt>
                <c:pt idx="6">
                  <c:v>-81.5</c:v>
                </c:pt>
                <c:pt idx="7">
                  <c:v>-75</c:v>
                </c:pt>
                <c:pt idx="8">
                  <c:v>-74</c:v>
                </c:pt>
                <c:pt idx="9">
                  <c:v>-59.5</c:v>
                </c:pt>
                <c:pt idx="10">
                  <c:v>-48.5</c:v>
                </c:pt>
                <c:pt idx="11">
                  <c:v>-3</c:v>
                </c:pt>
                <c:pt idx="12">
                  <c:v>-30</c:v>
                </c:pt>
                <c:pt idx="13">
                  <c:v>-18.5</c:v>
                </c:pt>
              </c:numCache>
            </c:numRef>
          </c:xVal>
          <c:yVal>
            <c:numRef>
              <c:f>ExtTest10mm_5!$C$15:$P$15</c:f>
              <c:numCache>
                <c:formatCode>General</c:formatCode>
                <c:ptCount val="14"/>
                <c:pt idx="0">
                  <c:v>4.0327772509041173</c:v>
                </c:pt>
                <c:pt idx="1">
                  <c:v>3.7250747045067913</c:v>
                </c:pt>
                <c:pt idx="2">
                  <c:v>3.5012891110164026</c:v>
                </c:pt>
                <c:pt idx="3">
                  <c:v>3.3425458781636546</c:v>
                </c:pt>
                <c:pt idx="4">
                  <c:v>3.0706230541318886</c:v>
                </c:pt>
                <c:pt idx="5">
                  <c:v>2.8447657840215617</c:v>
                </c:pt>
                <c:pt idx="6">
                  <c:v>2.8446217708736867</c:v>
                </c:pt>
                <c:pt idx="7">
                  <c:v>2.7733440251756893</c:v>
                </c:pt>
                <c:pt idx="8">
                  <c:v>2.6744099726497295</c:v>
                </c:pt>
                <c:pt idx="9">
                  <c:v>2.3824102126588129</c:v>
                </c:pt>
                <c:pt idx="10">
                  <c:v>1.6805208635862576</c:v>
                </c:pt>
                <c:pt idx="11">
                  <c:v>0.39482793300422558</c:v>
                </c:pt>
                <c:pt idx="12">
                  <c:v>1.7587132677407729</c:v>
                </c:pt>
                <c:pt idx="13">
                  <c:v>1.550440293736433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E-40BD-9CAA-A47E7613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923224"/>
        <c:axId val="331923552"/>
      </c:scatterChart>
      <c:valAx>
        <c:axId val="33192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552"/>
        <c:crosses val="autoZero"/>
        <c:crossBetween val="midCat"/>
      </c:valAx>
      <c:valAx>
        <c:axId val="3319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ExtTest10mm_6!$C$7:$AE$7</c:f>
              <c:numCache>
                <c:formatCode>General</c:formatCode>
                <c:ptCount val="29"/>
                <c:pt idx="0">
                  <c:v>1.5</c:v>
                </c:pt>
                <c:pt idx="1">
                  <c:v>-5.5</c:v>
                </c:pt>
                <c:pt idx="2">
                  <c:v>-14.5</c:v>
                </c:pt>
                <c:pt idx="3">
                  <c:v>-20</c:v>
                </c:pt>
                <c:pt idx="4">
                  <c:v>-28.5</c:v>
                </c:pt>
                <c:pt idx="5">
                  <c:v>-35.5</c:v>
                </c:pt>
                <c:pt idx="6">
                  <c:v>-40</c:v>
                </c:pt>
                <c:pt idx="7">
                  <c:v>-50.5</c:v>
                </c:pt>
                <c:pt idx="8">
                  <c:v>-60</c:v>
                </c:pt>
                <c:pt idx="9">
                  <c:v>-66.5</c:v>
                </c:pt>
                <c:pt idx="10">
                  <c:v>-72.5</c:v>
                </c:pt>
                <c:pt idx="11">
                  <c:v>-78.5</c:v>
                </c:pt>
                <c:pt idx="12">
                  <c:v>-88</c:v>
                </c:pt>
                <c:pt idx="13">
                  <c:v>-94.5</c:v>
                </c:pt>
                <c:pt idx="14">
                  <c:v>-105</c:v>
                </c:pt>
                <c:pt idx="15">
                  <c:v>-112.5</c:v>
                </c:pt>
                <c:pt idx="16">
                  <c:v>-119.5</c:v>
                </c:pt>
              </c:numCache>
            </c:numRef>
          </c:xVal>
          <c:yVal>
            <c:numRef>
              <c:f>ExtTest10mm_6!$C$15:$AE$15</c:f>
              <c:numCache>
                <c:formatCode>General</c:formatCode>
                <c:ptCount val="29"/>
                <c:pt idx="0">
                  <c:v>0.55424608033235112</c:v>
                </c:pt>
                <c:pt idx="1">
                  <c:v>0.94151232788941708</c:v>
                </c:pt>
                <c:pt idx="2">
                  <c:v>1.7654504703100355</c:v>
                </c:pt>
                <c:pt idx="3">
                  <c:v>1.7973782299686616</c:v>
                </c:pt>
                <c:pt idx="4">
                  <c:v>2.6505548329815083</c:v>
                </c:pt>
                <c:pt idx="5">
                  <c:v>2.7667878003414437</c:v>
                </c:pt>
                <c:pt idx="6">
                  <c:v>2.2112395854139617</c:v>
                </c:pt>
                <c:pt idx="7">
                  <c:v>3.2751267054083995</c:v>
                </c:pt>
                <c:pt idx="8">
                  <c:v>3.4232908014126586</c:v>
                </c:pt>
                <c:pt idx="9">
                  <c:v>3.6112742452683877</c:v>
                </c:pt>
                <c:pt idx="10">
                  <c:v>3.6879915375968162</c:v>
                </c:pt>
                <c:pt idx="11">
                  <c:v>3.8334579939029743</c:v>
                </c:pt>
                <c:pt idx="12">
                  <c:v>3.5876452882959535</c:v>
                </c:pt>
                <c:pt idx="13">
                  <c:v>3.5546509046937125</c:v>
                </c:pt>
                <c:pt idx="14">
                  <c:v>3.9491986185374381</c:v>
                </c:pt>
                <c:pt idx="15">
                  <c:v>4.5688312688392907</c:v>
                </c:pt>
                <c:pt idx="16">
                  <c:v>4.4080232672318793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1-47A1-9937-FB3F1043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ExtTest10mm_7!$C$7:$AE$7</c:f>
              <c:numCache>
                <c:formatCode>General</c:formatCode>
                <c:ptCount val="29"/>
                <c:pt idx="0">
                  <c:v>1.5</c:v>
                </c:pt>
                <c:pt idx="1">
                  <c:v>28</c:v>
                </c:pt>
                <c:pt idx="2">
                  <c:v>-32</c:v>
                </c:pt>
                <c:pt idx="3">
                  <c:v>-14</c:v>
                </c:pt>
                <c:pt idx="4">
                  <c:v>4</c:v>
                </c:pt>
              </c:numCache>
            </c:numRef>
          </c:xVal>
          <c:yVal>
            <c:numRef>
              <c:f>ExtTest10mm_7!$C$16:$AE$16</c:f>
              <c:numCache>
                <c:formatCode>General</c:formatCode>
                <c:ptCount val="29"/>
                <c:pt idx="0">
                  <c:v>0.55424608033235112</c:v>
                </c:pt>
                <c:pt idx="1">
                  <c:v>0.3956477431127321</c:v>
                </c:pt>
                <c:pt idx="2">
                  <c:v>6.4896197758391105</c:v>
                </c:pt>
                <c:pt idx="3">
                  <c:v>6.6935893235908681</c:v>
                </c:pt>
                <c:pt idx="4">
                  <c:v>5.3064294378181511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0-49D9-AAA9-100CB6C44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ExtTest10mm_8!$C$7:$AE$7</c:f>
              <c:numCache>
                <c:formatCode>General</c:formatCode>
                <c:ptCount val="29"/>
                <c:pt idx="0">
                  <c:v>40</c:v>
                </c:pt>
                <c:pt idx="1">
                  <c:v>38</c:v>
                </c:pt>
                <c:pt idx="2">
                  <c:v>28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  <c:pt idx="6">
                  <c:v>-9</c:v>
                </c:pt>
                <c:pt idx="7">
                  <c:v>-25</c:v>
                </c:pt>
                <c:pt idx="8">
                  <c:v>-29</c:v>
                </c:pt>
                <c:pt idx="9">
                  <c:v>-30</c:v>
                </c:pt>
                <c:pt idx="10">
                  <c:v>-40</c:v>
                </c:pt>
                <c:pt idx="11">
                  <c:v>-69</c:v>
                </c:pt>
                <c:pt idx="12">
                  <c:v>-73</c:v>
                </c:pt>
              </c:numCache>
            </c:numRef>
          </c:xVal>
          <c:yVal>
            <c:numRef>
              <c:f>ExtTest10mm_8!$C$16:$AE$16</c:f>
              <c:numCache>
                <c:formatCode>General</c:formatCode>
                <c:ptCount val="29"/>
                <c:pt idx="0">
                  <c:v>0.24936778112356464</c:v>
                </c:pt>
                <c:pt idx="1">
                  <c:v>1.5180055651816151</c:v>
                </c:pt>
                <c:pt idx="2">
                  <c:v>4.1916022603192538</c:v>
                </c:pt>
                <c:pt idx="3">
                  <c:v>5.7922384740607207</c:v>
                </c:pt>
                <c:pt idx="4">
                  <c:v>7.4880049100902237</c:v>
                </c:pt>
                <c:pt idx="5">
                  <c:v>8.4730476326811974</c:v>
                </c:pt>
                <c:pt idx="6">
                  <c:v>8.7625994980529605</c:v>
                </c:pt>
                <c:pt idx="7">
                  <c:v>8.4735529621225449</c:v>
                </c:pt>
                <c:pt idx="8">
                  <c:v>8.0320045581520194</c:v>
                </c:pt>
                <c:pt idx="9">
                  <c:v>7.5426084152031541</c:v>
                </c:pt>
                <c:pt idx="10">
                  <c:v>7.7184428186445837</c:v>
                </c:pt>
                <c:pt idx="11">
                  <c:v>9.4654641103771695</c:v>
                </c:pt>
                <c:pt idx="12">
                  <c:v>8.9788371589935139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D1-4D6B-B815-E22A8BA0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ExtTest10mm_9!$C$7:$AE$7</c:f>
              <c:numCache>
                <c:formatCode>General</c:formatCode>
                <c:ptCount val="29"/>
                <c:pt idx="0">
                  <c:v>41.5</c:v>
                </c:pt>
                <c:pt idx="1">
                  <c:v>38.5</c:v>
                </c:pt>
                <c:pt idx="2">
                  <c:v>27.7</c:v>
                </c:pt>
                <c:pt idx="3">
                  <c:v>16.399999999999999</c:v>
                </c:pt>
                <c:pt idx="4">
                  <c:v>8.4</c:v>
                </c:pt>
                <c:pt idx="5">
                  <c:v>0</c:v>
                </c:pt>
                <c:pt idx="6">
                  <c:v>-11</c:v>
                </c:pt>
                <c:pt idx="7">
                  <c:v>-23.5</c:v>
                </c:pt>
                <c:pt idx="8">
                  <c:v>-34.75</c:v>
                </c:pt>
                <c:pt idx="9">
                  <c:v>-44.18</c:v>
                </c:pt>
                <c:pt idx="10">
                  <c:v>-52.89</c:v>
                </c:pt>
              </c:numCache>
            </c:numRef>
          </c:xVal>
          <c:yVal>
            <c:numRef>
              <c:f>ExtTest10mm_9!$C$16:$AE$16</c:f>
              <c:numCache>
                <c:formatCode>General</c:formatCode>
                <c:ptCount val="29"/>
                <c:pt idx="0">
                  <c:v>0</c:v>
                </c:pt>
                <c:pt idx="1">
                  <c:v>0.23722389968454316</c:v>
                </c:pt>
                <c:pt idx="2">
                  <c:v>6.0336280824691642</c:v>
                </c:pt>
                <c:pt idx="3">
                  <c:v>8.0645178788997622</c:v>
                </c:pt>
                <c:pt idx="4">
                  <c:v>8.9354261358681395</c:v>
                </c:pt>
                <c:pt idx="5">
                  <c:v>9.4526002865765353</c:v>
                </c:pt>
                <c:pt idx="6">
                  <c:v>9.3783507326824935</c:v>
                </c:pt>
                <c:pt idx="7">
                  <c:v>9.3899680915573018</c:v>
                </c:pt>
                <c:pt idx="8">
                  <c:v>9.0649292768506786</c:v>
                </c:pt>
                <c:pt idx="9">
                  <c:v>9.8652649242959694</c:v>
                </c:pt>
                <c:pt idx="10">
                  <c:v>10.691277846159318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67-4A63-B5EA-9762DA8D4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ExtTest10mm_10!$C$7:$AE$7</c:f>
              <c:numCache>
                <c:formatCode>General</c:formatCode>
                <c:ptCount val="29"/>
                <c:pt idx="0">
                  <c:v>41.5</c:v>
                </c:pt>
                <c:pt idx="1">
                  <c:v>38.5</c:v>
                </c:pt>
                <c:pt idx="2">
                  <c:v>27.7</c:v>
                </c:pt>
                <c:pt idx="3">
                  <c:v>16.399999999999999</c:v>
                </c:pt>
                <c:pt idx="4">
                  <c:v>8.4</c:v>
                </c:pt>
                <c:pt idx="5">
                  <c:v>0</c:v>
                </c:pt>
                <c:pt idx="6">
                  <c:v>-11</c:v>
                </c:pt>
                <c:pt idx="7">
                  <c:v>-23.5</c:v>
                </c:pt>
                <c:pt idx="8">
                  <c:v>-34.75</c:v>
                </c:pt>
                <c:pt idx="9">
                  <c:v>-44.18</c:v>
                </c:pt>
                <c:pt idx="10">
                  <c:v>-52.89</c:v>
                </c:pt>
              </c:numCache>
            </c:numRef>
          </c:xVal>
          <c:yVal>
            <c:numRef>
              <c:f>ExtTest10mm_10!$C$16:$AE$16</c:f>
              <c:numCache>
                <c:formatCode>General</c:formatCode>
                <c:ptCount val="29"/>
                <c:pt idx="0">
                  <c:v>0</c:v>
                </c:pt>
                <c:pt idx="1">
                  <c:v>0.23722389968454316</c:v>
                </c:pt>
                <c:pt idx="2">
                  <c:v>6.0336280824691642</c:v>
                </c:pt>
                <c:pt idx="3">
                  <c:v>8.0645178788997622</c:v>
                </c:pt>
                <c:pt idx="4">
                  <c:v>8.9354261358681395</c:v>
                </c:pt>
                <c:pt idx="5">
                  <c:v>9.4526002865765353</c:v>
                </c:pt>
                <c:pt idx="6">
                  <c:v>9.3783507326824935</c:v>
                </c:pt>
                <c:pt idx="7">
                  <c:v>9.3899680915573018</c:v>
                </c:pt>
                <c:pt idx="8">
                  <c:v>9.0649292768506786</c:v>
                </c:pt>
                <c:pt idx="9">
                  <c:v>9.8652649242959694</c:v>
                </c:pt>
                <c:pt idx="10">
                  <c:v>10.691277846159318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C-4252-85B2-CF2A326F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7899278215223094"/>
                  <c:y val="0.32019715357362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FlxTest10mm_1!$C$7:$AI$7</c:f>
              <c:numCache>
                <c:formatCode>General</c:formatCode>
                <c:ptCount val="33"/>
                <c:pt idx="0">
                  <c:v>-5.5</c:v>
                </c:pt>
                <c:pt idx="1">
                  <c:v>-10.5</c:v>
                </c:pt>
                <c:pt idx="2">
                  <c:v>-25.5</c:v>
                </c:pt>
                <c:pt idx="3">
                  <c:v>-4.5</c:v>
                </c:pt>
                <c:pt idx="4">
                  <c:v>-14.5</c:v>
                </c:pt>
                <c:pt idx="5">
                  <c:v>-20</c:v>
                </c:pt>
                <c:pt idx="6">
                  <c:v>-33</c:v>
                </c:pt>
                <c:pt idx="7">
                  <c:v>-39.5</c:v>
                </c:pt>
                <c:pt idx="8">
                  <c:v>-43</c:v>
                </c:pt>
                <c:pt idx="9">
                  <c:v>-50</c:v>
                </c:pt>
                <c:pt idx="10">
                  <c:v>-62.5</c:v>
                </c:pt>
                <c:pt idx="11">
                  <c:v>-60</c:v>
                </c:pt>
                <c:pt idx="12">
                  <c:v>-55</c:v>
                </c:pt>
                <c:pt idx="13">
                  <c:v>-53.5</c:v>
                </c:pt>
                <c:pt idx="14">
                  <c:v>-46</c:v>
                </c:pt>
                <c:pt idx="15">
                  <c:v>-40</c:v>
                </c:pt>
                <c:pt idx="16">
                  <c:v>-36.5</c:v>
                </c:pt>
                <c:pt idx="17">
                  <c:v>-33.5</c:v>
                </c:pt>
                <c:pt idx="18">
                  <c:v>-29.5</c:v>
                </c:pt>
                <c:pt idx="19">
                  <c:v>-24.5</c:v>
                </c:pt>
                <c:pt idx="20">
                  <c:v>-17.5</c:v>
                </c:pt>
                <c:pt idx="21">
                  <c:v>-14.5</c:v>
                </c:pt>
                <c:pt idx="22">
                  <c:v>-5.5</c:v>
                </c:pt>
                <c:pt idx="23">
                  <c:v>-3</c:v>
                </c:pt>
                <c:pt idx="24">
                  <c:v>-0.5</c:v>
                </c:pt>
                <c:pt idx="25">
                  <c:v>3.5</c:v>
                </c:pt>
                <c:pt idx="26">
                  <c:v>11.5</c:v>
                </c:pt>
                <c:pt idx="27">
                  <c:v>19.5</c:v>
                </c:pt>
              </c:numCache>
            </c:numRef>
          </c:xVal>
          <c:yVal>
            <c:numRef>
              <c:f>FlxTest10mm_1!$C$15:$AI$15</c:f>
              <c:numCache>
                <c:formatCode>General</c:formatCode>
                <c:ptCount val="33"/>
                <c:pt idx="0">
                  <c:v>-13.550199438030189</c:v>
                </c:pt>
                <c:pt idx="1">
                  <c:v>-12.715746326203965</c:v>
                </c:pt>
                <c:pt idx="2">
                  <c:v>-12.227450296743585</c:v>
                </c:pt>
                <c:pt idx="3">
                  <c:v>-13.574295183417183</c:v>
                </c:pt>
                <c:pt idx="4">
                  <c:v>-12.617833179689791</c:v>
                </c:pt>
                <c:pt idx="5">
                  <c:v>-11.427173303326315</c:v>
                </c:pt>
                <c:pt idx="6">
                  <c:v>-7.8289359826583684</c:v>
                </c:pt>
                <c:pt idx="7">
                  <c:v>-6.4962395866945686</c:v>
                </c:pt>
                <c:pt idx="8">
                  <c:v>-4.9404873370427511</c:v>
                </c:pt>
                <c:pt idx="9">
                  <c:v>-2.8261340010696823</c:v>
                </c:pt>
                <c:pt idx="10">
                  <c:v>-1.2108000422274927</c:v>
                </c:pt>
                <c:pt idx="11">
                  <c:v>-0.11021594724709009</c:v>
                </c:pt>
                <c:pt idx="12">
                  <c:v>-1.5137448723481624</c:v>
                </c:pt>
                <c:pt idx="13">
                  <c:v>-3.1927408242720881</c:v>
                </c:pt>
                <c:pt idx="14">
                  <c:v>-4.8615958230354943</c:v>
                </c:pt>
                <c:pt idx="15">
                  <c:v>-6.8694525901110115</c:v>
                </c:pt>
                <c:pt idx="16">
                  <c:v>-8.5997889837959107</c:v>
                </c:pt>
                <c:pt idx="17">
                  <c:v>-10.35823139969961</c:v>
                </c:pt>
                <c:pt idx="18">
                  <c:v>-11.863637901467659</c:v>
                </c:pt>
                <c:pt idx="19">
                  <c:v>-13.477555041999489</c:v>
                </c:pt>
                <c:pt idx="20">
                  <c:v>-13.77813076308844</c:v>
                </c:pt>
                <c:pt idx="21">
                  <c:v>-14.884597105183458</c:v>
                </c:pt>
                <c:pt idx="22">
                  <c:v>-14.534539473342328</c:v>
                </c:pt>
                <c:pt idx="23">
                  <c:v>-14.338144060893327</c:v>
                </c:pt>
                <c:pt idx="24">
                  <c:v>-14.021223986689929</c:v>
                </c:pt>
                <c:pt idx="25">
                  <c:v>-12.539046654783448</c:v>
                </c:pt>
                <c:pt idx="26">
                  <c:v>-11.167854768300959</c:v>
                </c:pt>
                <c:pt idx="27">
                  <c:v>-8.2836070695559112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1-4C56-A69D-B7F3E808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762374401637524"/>
                  <c:y val="4.5584595515824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FlxTest10mm_2!$C$7:$AI$7</c:f>
              <c:numCache>
                <c:formatCode>General</c:formatCode>
                <c:ptCount val="33"/>
                <c:pt idx="0">
                  <c:v>6</c:v>
                </c:pt>
                <c:pt idx="1">
                  <c:v>5.5</c:v>
                </c:pt>
                <c:pt idx="2">
                  <c:v>-1</c:v>
                </c:pt>
                <c:pt idx="3">
                  <c:v>-15</c:v>
                </c:pt>
                <c:pt idx="4">
                  <c:v>-26.6</c:v>
                </c:pt>
                <c:pt idx="5">
                  <c:v>-35</c:v>
                </c:pt>
                <c:pt idx="6">
                  <c:v>-42.5</c:v>
                </c:pt>
                <c:pt idx="7">
                  <c:v>-56</c:v>
                </c:pt>
                <c:pt idx="8">
                  <c:v>-56</c:v>
                </c:pt>
                <c:pt idx="9">
                  <c:v>-63</c:v>
                </c:pt>
                <c:pt idx="10">
                  <c:v>-64</c:v>
                </c:pt>
                <c:pt idx="11">
                  <c:v>-55</c:v>
                </c:pt>
                <c:pt idx="12">
                  <c:v>-48</c:v>
                </c:pt>
                <c:pt idx="13">
                  <c:v>-42</c:v>
                </c:pt>
                <c:pt idx="14">
                  <c:v>-35</c:v>
                </c:pt>
                <c:pt idx="15">
                  <c:v>-26</c:v>
                </c:pt>
                <c:pt idx="16">
                  <c:v>-19</c:v>
                </c:pt>
                <c:pt idx="17">
                  <c:v>-11</c:v>
                </c:pt>
                <c:pt idx="18">
                  <c:v>0.5</c:v>
                </c:pt>
                <c:pt idx="19">
                  <c:v>11.5</c:v>
                </c:pt>
              </c:numCache>
            </c:numRef>
          </c:xVal>
          <c:yVal>
            <c:numRef>
              <c:f>FlxTest10mm_2!$C$15:$AI$15</c:f>
              <c:numCache>
                <c:formatCode>General</c:formatCode>
                <c:ptCount val="33"/>
                <c:pt idx="0">
                  <c:v>-12.024486481310953</c:v>
                </c:pt>
                <c:pt idx="1">
                  <c:v>-12.010720430450908</c:v>
                </c:pt>
                <c:pt idx="2">
                  <c:v>-12.467074331666348</c:v>
                </c:pt>
                <c:pt idx="3">
                  <c:v>-11.429265093789359</c:v>
                </c:pt>
                <c:pt idx="4">
                  <c:v>-9.361208446969103</c:v>
                </c:pt>
                <c:pt idx="5">
                  <c:v>-7.6761795853386783</c:v>
                </c:pt>
                <c:pt idx="6">
                  <c:v>-4.9579976724776733</c:v>
                </c:pt>
                <c:pt idx="7">
                  <c:v>-1.6722536503811283</c:v>
                </c:pt>
                <c:pt idx="8">
                  <c:v>-0.80746439223476663</c:v>
                </c:pt>
                <c:pt idx="9">
                  <c:v>-3.5743411708348779E-3</c:v>
                </c:pt>
                <c:pt idx="10">
                  <c:v>-2.0198749999999999</c:v>
                </c:pt>
                <c:pt idx="11">
                  <c:v>-4.1705971185958441</c:v>
                </c:pt>
                <c:pt idx="12">
                  <c:v>-6.4666790193515293</c:v>
                </c:pt>
                <c:pt idx="13">
                  <c:v>-8.1665094852463582</c:v>
                </c:pt>
                <c:pt idx="14">
                  <c:v>-10.603302506170124</c:v>
                </c:pt>
                <c:pt idx="15">
                  <c:v>-12.640024275140153</c:v>
                </c:pt>
                <c:pt idx="16">
                  <c:v>-13.930450567806828</c:v>
                </c:pt>
                <c:pt idx="17">
                  <c:v>-14.689482923460329</c:v>
                </c:pt>
                <c:pt idx="18">
                  <c:v>-14.674822536018389</c:v>
                </c:pt>
                <c:pt idx="19">
                  <c:v>-13.151302910231001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05-4463-B8B4-EFE1AE46B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160629921259845"/>
                  <c:y val="-0.124929644211140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252318460192475"/>
                  <c:y val="1.645888013998250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FlxTest10mm_3!$C$7:$L$7</c:f>
              <c:numCache>
                <c:formatCode>General</c:formatCode>
                <c:ptCount val="10"/>
                <c:pt idx="0">
                  <c:v>-41</c:v>
                </c:pt>
                <c:pt idx="1">
                  <c:v>-45</c:v>
                </c:pt>
                <c:pt idx="2">
                  <c:v>-57</c:v>
                </c:pt>
                <c:pt idx="3">
                  <c:v>-63</c:v>
                </c:pt>
                <c:pt idx="4">
                  <c:v>-77</c:v>
                </c:pt>
                <c:pt idx="5">
                  <c:v>-75</c:v>
                </c:pt>
                <c:pt idx="6">
                  <c:v>-80</c:v>
                </c:pt>
                <c:pt idx="7">
                  <c:v>-90</c:v>
                </c:pt>
                <c:pt idx="8">
                  <c:v>-95</c:v>
                </c:pt>
                <c:pt idx="9">
                  <c:v>-105</c:v>
                </c:pt>
              </c:numCache>
            </c:numRef>
          </c:xVal>
          <c:yVal>
            <c:numRef>
              <c:f>FlxTest10mm_3!$C$15:$L$15</c:f>
              <c:numCache>
                <c:formatCode>General</c:formatCode>
                <c:ptCount val="10"/>
                <c:pt idx="0">
                  <c:v>-17.623982271657447</c:v>
                </c:pt>
                <c:pt idx="1">
                  <c:v>-14.312588392743191</c:v>
                </c:pt>
                <c:pt idx="2">
                  <c:v>-10.544115710489031</c:v>
                </c:pt>
                <c:pt idx="3">
                  <c:v>-7.714703040370237</c:v>
                </c:pt>
                <c:pt idx="4">
                  <c:v>-5.2633492521046072</c:v>
                </c:pt>
                <c:pt idx="5">
                  <c:v>-5.0482353303594207</c:v>
                </c:pt>
                <c:pt idx="6">
                  <c:v>-2.8329795466253955</c:v>
                </c:pt>
                <c:pt idx="7">
                  <c:v>-1.807118322254111</c:v>
                </c:pt>
                <c:pt idx="8">
                  <c:v>-1.0285393197546095</c:v>
                </c:pt>
                <c:pt idx="9">
                  <c:v>-0.56161756164602195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B-4C83-AE53-4FC10967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10136"/>
        <c:axId val="497510792"/>
      </c:scatterChart>
      <c:valAx>
        <c:axId val="49751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792"/>
        <c:crosses val="autoZero"/>
        <c:crossBetween val="midCat"/>
      </c:valAx>
      <c:valAx>
        <c:axId val="49751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21</xdr:row>
      <xdr:rowOff>7937</xdr:rowOff>
    </xdr:from>
    <xdr:to>
      <xdr:col>15</xdr:col>
      <xdr:colOff>131233</xdr:colOff>
      <xdr:row>36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7558C-2759-4893-8ED1-C65479159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AE4F8-CB26-45EE-8AE1-A64A65EFA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F7062-A777-4820-B1A6-929596170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845608</xdr:colOff>
      <xdr:row>18</xdr:row>
      <xdr:rowOff>112712</xdr:rowOff>
    </xdr:from>
    <xdr:to>
      <xdr:col>12</xdr:col>
      <xdr:colOff>283633</xdr:colOff>
      <xdr:row>33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61B16-F4D1-4AD0-BE0B-B6E03136E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15</xdr:row>
      <xdr:rowOff>114300</xdr:rowOff>
    </xdr:from>
    <xdr:to>
      <xdr:col>9</xdr:col>
      <xdr:colOff>895350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BB955-9EB7-4ECF-9A69-57F7CE25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18</xdr:row>
      <xdr:rowOff>19050</xdr:rowOff>
    </xdr:from>
    <xdr:to>
      <xdr:col>12</xdr:col>
      <xdr:colOff>80962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3110C-BE3D-456E-94CF-ECF1AF42E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82C09-B451-4213-BA14-32757C772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DFDBC-593A-4960-B506-B57F628B6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51217-0E3A-4208-858A-CB577BE2F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CD51B-781C-4EB5-B685-E11D1219F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FA640-F8ED-4CD7-A88D-06604D5CF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17</xdr:row>
      <xdr:rowOff>74612</xdr:rowOff>
    </xdr:from>
    <xdr:to>
      <xdr:col>14</xdr:col>
      <xdr:colOff>331258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A400-5F04-4953-A0E6-367FC264D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500062</xdr:colOff>
      <xdr:row>15</xdr:row>
      <xdr:rowOff>95250</xdr:rowOff>
    </xdr:from>
    <xdr:to>
      <xdr:col>8</xdr:col>
      <xdr:colOff>528637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F016FD-8475-49B9-BE00-EEAE24A5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 Bolen" id="{10A700E7-E0AC-4B04-B751-E14560120F23}" userId="S::bbolen@pdx.edu::2756ab96-c1b4-4d6e-be6a-ace1ad4a856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7-17T08:55:32.82" personId="{10A700E7-E0AC-4B04-B751-E14560120F23}" id="{31540696-8989-4ECF-9DA4-105271D5E559}">
    <text>Max contracted length normalized by resting length</text>
  </threadedComment>
  <threadedComment ref="E3" dT="2026-07-17T08:54:37.64" personId="{10A700E7-E0AC-4B04-B751-E14560120F23}" id="{4ABBB369-E711-4E3D-9229-46727333D172}">
    <text>Kmax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6-07-17T08:55:32.82" personId="{10A700E7-E0AC-4B04-B751-E14560120F23}" id="{BDF31CF8-F642-45F3-81CA-9C8FF04449E8}">
    <text>Max contracted length normalized by resting length</text>
  </threadedComment>
  <threadedComment ref="E3" dT="2026-07-17T08:54:37.64" personId="{10A700E7-E0AC-4B04-B751-E14560120F23}" id="{C8A435E7-474C-41D6-A569-7731B05DEC1C}">
    <text>Kmax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896A-0586-4C90-B5FD-474633C66A37}">
  <dimension ref="A1:AJ27"/>
  <sheetViews>
    <sheetView topLeftCell="J1" workbookViewId="0">
      <selection activeCell="C6" sqref="C6:K6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486</v>
      </c>
      <c r="F2" t="s">
        <v>18</v>
      </c>
    </row>
    <row r="3" spans="1:36" x14ac:dyDescent="0.3">
      <c r="B3" s="3" t="s">
        <v>14</v>
      </c>
      <c r="C3">
        <f>C2-C2*0.17</f>
        <v>403.38</v>
      </c>
    </row>
    <row r="4" spans="1:36" x14ac:dyDescent="0.3">
      <c r="B4" s="3" t="s">
        <v>17</v>
      </c>
      <c r="C4">
        <v>405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1</v>
      </c>
      <c r="D6">
        <v>17.081</v>
      </c>
      <c r="E6">
        <v>16.28</v>
      </c>
      <c r="F6">
        <v>15.18</v>
      </c>
      <c r="G6">
        <v>12.961</v>
      </c>
      <c r="H6">
        <v>10.72</v>
      </c>
      <c r="I6">
        <v>5.8838999999999997</v>
      </c>
      <c r="J6">
        <v>4.6440000000000001</v>
      </c>
      <c r="K6">
        <v>1.68</v>
      </c>
      <c r="L6">
        <v>-0.311</v>
      </c>
      <c r="M6">
        <v>2.0739999999999998</v>
      </c>
      <c r="N6">
        <v>4.8476999999999997</v>
      </c>
      <c r="O6">
        <v>8.5419999999999998</v>
      </c>
      <c r="P6">
        <v>12.151</v>
      </c>
      <c r="Q6">
        <v>14.59</v>
      </c>
      <c r="R6">
        <v>16.151</v>
      </c>
      <c r="S6">
        <v>17.783000000000001</v>
      </c>
      <c r="T6">
        <v>18.548999999999999</v>
      </c>
      <c r="U6">
        <v>19.585999999999999</v>
      </c>
      <c r="V6">
        <v>23.167999999999999</v>
      </c>
    </row>
    <row r="7" spans="1:36" x14ac:dyDescent="0.3">
      <c r="B7" s="6" t="s">
        <v>2</v>
      </c>
      <c r="C7">
        <v>-121.5</v>
      </c>
      <c r="D7">
        <v>-108.5</v>
      </c>
      <c r="E7">
        <v>-101.5</v>
      </c>
      <c r="F7">
        <v>-94</v>
      </c>
      <c r="G7">
        <v>-83</v>
      </c>
      <c r="H7">
        <v>-75</v>
      </c>
      <c r="I7">
        <v>-61.5</v>
      </c>
      <c r="J7">
        <v>-65</v>
      </c>
      <c r="K7">
        <v>-32</v>
      </c>
      <c r="L7">
        <v>-18</v>
      </c>
      <c r="M7">
        <v>-32.5</v>
      </c>
      <c r="N7">
        <v>-47.5</v>
      </c>
      <c r="O7">
        <v>-57.5</v>
      </c>
      <c r="P7">
        <v>-69.5</v>
      </c>
      <c r="Q7">
        <v>-80</v>
      </c>
      <c r="R7">
        <v>-90.5</v>
      </c>
      <c r="S7">
        <v>-96.5</v>
      </c>
      <c r="T7">
        <v>-104</v>
      </c>
      <c r="U7">
        <v>-113.5</v>
      </c>
      <c r="V7">
        <v>-123</v>
      </c>
    </row>
    <row r="8" spans="1:36" s="1" customFormat="1" x14ac:dyDescent="0.3">
      <c r="A8" s="11" t="s">
        <v>7</v>
      </c>
      <c r="B8" s="7" t="s">
        <v>12</v>
      </c>
      <c r="C8" s="1">
        <v>93</v>
      </c>
      <c r="D8" s="1">
        <v>93</v>
      </c>
      <c r="E8" s="1">
        <v>93</v>
      </c>
      <c r="F8" s="1">
        <v>93</v>
      </c>
      <c r="G8" s="1">
        <v>93</v>
      </c>
      <c r="H8" s="1">
        <v>93</v>
      </c>
      <c r="I8" s="1">
        <v>82</v>
      </c>
      <c r="J8" s="1">
        <v>82</v>
      </c>
      <c r="K8" s="1">
        <v>82</v>
      </c>
      <c r="L8" s="1">
        <v>80</v>
      </c>
      <c r="M8" s="1">
        <v>80</v>
      </c>
      <c r="N8" s="1">
        <v>80</v>
      </c>
      <c r="O8" s="1">
        <v>90.6</v>
      </c>
      <c r="P8" s="1">
        <v>90.6</v>
      </c>
      <c r="Q8" s="1">
        <v>90.6</v>
      </c>
      <c r="R8" s="1">
        <v>84.4</v>
      </c>
      <c r="S8" s="1">
        <v>84.4</v>
      </c>
      <c r="T8" s="1">
        <v>84.4</v>
      </c>
      <c r="U8" s="1">
        <v>84.4</v>
      </c>
      <c r="V8" s="1">
        <v>84.4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455.5</v>
      </c>
      <c r="D10">
        <v>461</v>
      </c>
      <c r="E10">
        <v>451</v>
      </c>
      <c r="F10">
        <v>451</v>
      </c>
      <c r="G10">
        <v>440</v>
      </c>
      <c r="H10">
        <v>438.5</v>
      </c>
      <c r="I10">
        <v>435</v>
      </c>
      <c r="J10">
        <v>415.5</v>
      </c>
      <c r="K10">
        <v>413</v>
      </c>
      <c r="L10">
        <v>410</v>
      </c>
      <c r="M10">
        <v>409.5</v>
      </c>
      <c r="N10">
        <v>418</v>
      </c>
      <c r="O10">
        <v>426.5</v>
      </c>
      <c r="P10">
        <v>438</v>
      </c>
      <c r="Q10">
        <v>442.5</v>
      </c>
      <c r="R10">
        <v>441.5</v>
      </c>
      <c r="S10">
        <v>450</v>
      </c>
      <c r="T10">
        <v>458.5</v>
      </c>
      <c r="U10" s="2">
        <v>455.5</v>
      </c>
      <c r="V10" s="2">
        <v>463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264</v>
      </c>
      <c r="D12">
        <v>264</v>
      </c>
      <c r="E12">
        <v>264</v>
      </c>
      <c r="F12">
        <v>264</v>
      </c>
      <c r="G12">
        <v>264</v>
      </c>
      <c r="H12">
        <v>264</v>
      </c>
      <c r="I12">
        <v>264</v>
      </c>
      <c r="J12">
        <v>264</v>
      </c>
      <c r="K12">
        <v>264</v>
      </c>
      <c r="L12">
        <v>264</v>
      </c>
      <c r="M12">
        <v>264</v>
      </c>
      <c r="N12">
        <v>264</v>
      </c>
      <c r="O12">
        <v>264</v>
      </c>
      <c r="P12">
        <v>264</v>
      </c>
      <c r="Q12">
        <v>264</v>
      </c>
      <c r="R12">
        <v>264</v>
      </c>
      <c r="S12">
        <v>264</v>
      </c>
      <c r="T12">
        <v>264</v>
      </c>
      <c r="U12">
        <v>264</v>
      </c>
      <c r="V12">
        <v>264</v>
      </c>
      <c r="W12">
        <v>264</v>
      </c>
      <c r="X12">
        <v>264</v>
      </c>
      <c r="Y12">
        <v>264</v>
      </c>
    </row>
    <row r="13" spans="1:36" x14ac:dyDescent="0.3">
      <c r="A13" s="12"/>
      <c r="B13" s="8" t="s">
        <v>11</v>
      </c>
      <c r="C13">
        <v>30.5</v>
      </c>
      <c r="D13">
        <v>41.5</v>
      </c>
      <c r="E13">
        <v>39</v>
      </c>
      <c r="F13">
        <v>35.5</v>
      </c>
      <c r="G13">
        <v>37</v>
      </c>
      <c r="H13">
        <v>40.5</v>
      </c>
      <c r="I13">
        <v>37</v>
      </c>
      <c r="J13">
        <v>46.5</v>
      </c>
      <c r="K13">
        <v>38.5</v>
      </c>
      <c r="L13">
        <v>45.5</v>
      </c>
      <c r="M13">
        <v>36.5</v>
      </c>
      <c r="N13">
        <v>38.5</v>
      </c>
      <c r="O13">
        <v>35</v>
      </c>
      <c r="P13">
        <v>38.5</v>
      </c>
      <c r="Q13">
        <v>36</v>
      </c>
      <c r="R13">
        <v>42</v>
      </c>
      <c r="S13">
        <v>39</v>
      </c>
      <c r="T13">
        <v>36</v>
      </c>
      <c r="U13">
        <v>38</v>
      </c>
      <c r="V13">
        <v>37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0.26363819717520748</v>
      </c>
      <c r="D15">
        <f t="shared" ref="D15:K15" si="1">D6*SIN(RADIANS(D8))*D12/1000</f>
        <v>4.503204045949718</v>
      </c>
      <c r="E15">
        <f t="shared" si="1"/>
        <v>4.292029850012379</v>
      </c>
      <c r="F15">
        <f t="shared" si="1"/>
        <v>4.0020278331196497</v>
      </c>
      <c r="G15">
        <f t="shared" si="1"/>
        <v>3.4170146735878646</v>
      </c>
      <c r="H15">
        <f t="shared" si="1"/>
        <v>2.8262014737182244</v>
      </c>
      <c r="I15">
        <f t="shared" si="1"/>
        <v>1.5382325084724908</v>
      </c>
      <c r="J15">
        <f t="shared" si="1"/>
        <v>1.2140844965662649</v>
      </c>
      <c r="K15">
        <f t="shared" si="1"/>
        <v>0.43920369384826125</v>
      </c>
      <c r="L15">
        <f t="shared" ref="L15:V15" si="2">L6*SIN(RADIANS(L8))*L12/1000</f>
        <v>-8.0856655753314327E-2</v>
      </c>
      <c r="M15">
        <f t="shared" si="2"/>
        <v>0.53921769785329232</v>
      </c>
      <c r="N15">
        <f t="shared" si="2"/>
        <v>1.2603498716892021</v>
      </c>
      <c r="O15">
        <f t="shared" si="2"/>
        <v>2.254964352094134</v>
      </c>
      <c r="P15">
        <f t="shared" si="2"/>
        <v>3.2076881107815294</v>
      </c>
      <c r="Q15">
        <f t="shared" si="2"/>
        <v>3.8515488055553049</v>
      </c>
      <c r="R15">
        <f t="shared" si="2"/>
        <v>4.2435142825961298</v>
      </c>
      <c r="S15">
        <f t="shared" si="2"/>
        <v>4.6723060174235034</v>
      </c>
      <c r="T15">
        <f t="shared" si="2"/>
        <v>4.8735648831574281</v>
      </c>
      <c r="U15">
        <f t="shared" si="2"/>
        <v>5.1460262979956539</v>
      </c>
      <c r="V15">
        <f t="shared" si="2"/>
        <v>6.0871610983336719</v>
      </c>
      <c r="W15">
        <f t="shared" ref="W15:AI15" si="3">W6*-SIN(RADIANS(W8))*W12/1000</f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</row>
    <row r="17" spans="3:24" x14ac:dyDescent="0.3">
      <c r="C17" t="s">
        <v>20</v>
      </c>
    </row>
    <row r="18" spans="3:24" x14ac:dyDescent="0.3">
      <c r="C18">
        <f>C6+4.6262</f>
        <v>5.6261999999999999</v>
      </c>
      <c r="D18">
        <f t="shared" ref="D18:K18" si="4">D6+4.6262</f>
        <v>21.7072</v>
      </c>
      <c r="E18">
        <f t="shared" si="4"/>
        <v>20.906200000000002</v>
      </c>
      <c r="F18">
        <f t="shared" si="4"/>
        <v>19.8062</v>
      </c>
      <c r="G18">
        <f t="shared" si="4"/>
        <v>17.587199999999999</v>
      </c>
      <c r="H18">
        <f t="shared" si="4"/>
        <v>15.3462</v>
      </c>
      <c r="I18">
        <f t="shared" si="4"/>
        <v>10.5101</v>
      </c>
      <c r="J18">
        <f t="shared" si="4"/>
        <v>9.2701999999999991</v>
      </c>
      <c r="K18">
        <f t="shared" si="4"/>
        <v>6.3061999999999996</v>
      </c>
    </row>
    <row r="19" spans="3:24" x14ac:dyDescent="0.3">
      <c r="C19">
        <v>22.176200000000001</v>
      </c>
      <c r="D19">
        <v>21.7072</v>
      </c>
      <c r="E19">
        <v>20.906200000000002</v>
      </c>
      <c r="F19">
        <v>19.8062</v>
      </c>
      <c r="G19">
        <v>17.587199999999999</v>
      </c>
      <c r="H19">
        <v>15.3462</v>
      </c>
      <c r="I19">
        <v>10.5101</v>
      </c>
      <c r="J19">
        <v>9.2701999999999991</v>
      </c>
      <c r="K19">
        <v>6.3061999999999996</v>
      </c>
    </row>
    <row r="20" spans="3:24" x14ac:dyDescent="0.3">
      <c r="C20" t="s">
        <v>45</v>
      </c>
    </row>
    <row r="21" spans="3:24" x14ac:dyDescent="0.3">
      <c r="C21">
        <v>17.55</v>
      </c>
      <c r="D21">
        <v>17.081</v>
      </c>
      <c r="E21">
        <v>16.28</v>
      </c>
      <c r="F21">
        <v>15.18</v>
      </c>
      <c r="G21">
        <v>12.961</v>
      </c>
      <c r="H21">
        <v>10.72</v>
      </c>
      <c r="I21">
        <v>5.8838999999999997</v>
      </c>
      <c r="J21">
        <v>4.6440000000000001</v>
      </c>
      <c r="K21">
        <v>1.68</v>
      </c>
    </row>
    <row r="22" spans="3:24" x14ac:dyDescent="0.3">
      <c r="T22">
        <v>480</v>
      </c>
      <c r="U22">
        <v>470</v>
      </c>
      <c r="V22">
        <v>450</v>
      </c>
      <c r="W22">
        <v>420</v>
      </c>
      <c r="X22">
        <v>405</v>
      </c>
    </row>
    <row r="23" spans="3:24" x14ac:dyDescent="0.3">
      <c r="S23" t="s">
        <v>30</v>
      </c>
      <c r="T23">
        <f>(486-T22)/486</f>
        <v>1.2345679012345678E-2</v>
      </c>
      <c r="U23">
        <f>(486-U22)/486</f>
        <v>3.292181069958848E-2</v>
      </c>
      <c r="V23">
        <f>(486-V22)/486</f>
        <v>7.407407407407407E-2</v>
      </c>
      <c r="W23">
        <f>(486-W22)/486</f>
        <v>0.13580246913580246</v>
      </c>
      <c r="X23">
        <f>(486-X22)/486</f>
        <v>0.16666666666666666</v>
      </c>
    </row>
    <row r="24" spans="3:24" x14ac:dyDescent="0.3">
      <c r="S24" t="s">
        <v>31</v>
      </c>
      <c r="T24">
        <f>T23/$T$27</f>
        <v>7.407407407407407E-2</v>
      </c>
      <c r="U24">
        <f>U23/$T$27</f>
        <v>0.19753086419753088</v>
      </c>
      <c r="V24">
        <f>V23/$T$27</f>
        <v>0.44444444444444442</v>
      </c>
      <c r="W24">
        <f>W23/$T$27</f>
        <v>0.81481481481481477</v>
      </c>
      <c r="X24">
        <f>X23/$T$27</f>
        <v>1</v>
      </c>
    </row>
    <row r="27" spans="3:24" x14ac:dyDescent="0.3">
      <c r="S27" t="s">
        <v>32</v>
      </c>
      <c r="T27">
        <f xml:space="preserve"> (486-405)/486</f>
        <v>0.16666666666666666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208C-7CDD-421F-9FF0-096EE144B4F3}">
  <dimension ref="A1:AJ15"/>
  <sheetViews>
    <sheetView topLeftCell="P1" workbookViewId="0">
      <selection activeCell="D4" sqref="D4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457</v>
      </c>
      <c r="F2" t="s">
        <v>22</v>
      </c>
    </row>
    <row r="3" spans="1:36" x14ac:dyDescent="0.3">
      <c r="B3" s="3" t="s">
        <v>14</v>
      </c>
      <c r="C3">
        <f>C2-C2*0.17</f>
        <v>379.31</v>
      </c>
    </row>
    <row r="4" spans="1:36" x14ac:dyDescent="0.3">
      <c r="B4" s="3" t="s">
        <v>17</v>
      </c>
      <c r="C4">
        <v>380</v>
      </c>
      <c r="D4">
        <f>1-C4/C2</f>
        <v>0.16849015317286653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23.123999999999999</v>
      </c>
      <c r="D6">
        <v>22.821999999999999</v>
      </c>
      <c r="E6">
        <v>22.417999999999999</v>
      </c>
      <c r="F6">
        <v>22.584</v>
      </c>
      <c r="G6">
        <v>23.396999999999998</v>
      </c>
      <c r="H6">
        <v>21.117000000000001</v>
      </c>
      <c r="I6">
        <v>18.875</v>
      </c>
      <c r="J6">
        <v>17.254999999999999</v>
      </c>
      <c r="K6">
        <v>15.285</v>
      </c>
      <c r="L6">
        <v>11.97</v>
      </c>
      <c r="M6">
        <v>9.6539999999999999</v>
      </c>
      <c r="N6">
        <v>7.9669999999999996</v>
      </c>
      <c r="O6">
        <v>6.6920000000000002</v>
      </c>
      <c r="P6">
        <v>2.9020000000000001</v>
      </c>
      <c r="Q6">
        <v>1.1599999999999999</v>
      </c>
      <c r="R6">
        <v>-0.215</v>
      </c>
      <c r="S6">
        <v>2.0099999999999998</v>
      </c>
      <c r="T6">
        <v>8.6850000000000005</v>
      </c>
      <c r="U6">
        <v>11.27</v>
      </c>
      <c r="V6">
        <v>13.627000000000001</v>
      </c>
      <c r="W6">
        <v>15.065</v>
      </c>
      <c r="X6">
        <v>17.838999999999999</v>
      </c>
      <c r="Y6">
        <v>19.927</v>
      </c>
      <c r="Z6">
        <v>21.132000000000001</v>
      </c>
      <c r="AA6">
        <v>22.739000000000001</v>
      </c>
      <c r="AB6">
        <v>23.741</v>
      </c>
      <c r="AC6">
        <v>24.338999999999999</v>
      </c>
      <c r="AD6">
        <v>25.221</v>
      </c>
      <c r="AE6">
        <v>24.667000000000002</v>
      </c>
    </row>
    <row r="7" spans="1:36" x14ac:dyDescent="0.3">
      <c r="B7" s="6" t="s">
        <v>2</v>
      </c>
      <c r="C7">
        <v>-125</v>
      </c>
      <c r="D7">
        <v>-120.5</v>
      </c>
      <c r="E7">
        <v>-115</v>
      </c>
      <c r="F7">
        <v>-111.5</v>
      </c>
      <c r="G7">
        <v>-108</v>
      </c>
      <c r="H7">
        <v>-101.5</v>
      </c>
      <c r="I7">
        <v>-88</v>
      </c>
      <c r="J7">
        <v>-80</v>
      </c>
      <c r="K7">
        <v>-71</v>
      </c>
      <c r="L7">
        <v>-58</v>
      </c>
      <c r="M7">
        <v>-40</v>
      </c>
      <c r="N7">
        <v>-32</v>
      </c>
      <c r="O7">
        <v>-17.5</v>
      </c>
      <c r="P7">
        <v>-10.5</v>
      </c>
      <c r="Q7">
        <v>-4</v>
      </c>
      <c r="R7">
        <v>2</v>
      </c>
      <c r="S7">
        <v>-3.5</v>
      </c>
      <c r="T7">
        <v>-16</v>
      </c>
      <c r="U7">
        <v>-33.5</v>
      </c>
      <c r="V7">
        <v>-48</v>
      </c>
      <c r="W7">
        <v>-58.5</v>
      </c>
      <c r="X7">
        <v>-72</v>
      </c>
      <c r="Y7">
        <v>-80</v>
      </c>
      <c r="Z7">
        <v>-85</v>
      </c>
      <c r="AA7">
        <v>-88.5</v>
      </c>
      <c r="AB7">
        <v>-99.5</v>
      </c>
      <c r="AC7">
        <v>-111.5</v>
      </c>
      <c r="AD7">
        <v>-114.5</v>
      </c>
      <c r="AE7">
        <v>-123</v>
      </c>
    </row>
    <row r="8" spans="1:36" s="1" customFormat="1" x14ac:dyDescent="0.3">
      <c r="A8" s="11" t="s">
        <v>7</v>
      </c>
      <c r="B8" s="7" t="s">
        <v>12</v>
      </c>
      <c r="C8" s="1">
        <v>87.6</v>
      </c>
      <c r="D8" s="1">
        <v>85.3</v>
      </c>
      <c r="E8" s="1">
        <v>81.3</v>
      </c>
      <c r="F8" s="1">
        <v>82.9</v>
      </c>
      <c r="G8" s="1">
        <v>84.7</v>
      </c>
      <c r="H8" s="1">
        <v>81.8</v>
      </c>
      <c r="I8" s="1">
        <v>81.3</v>
      </c>
      <c r="J8" s="1">
        <v>81.8</v>
      </c>
      <c r="K8" s="1">
        <v>84.1</v>
      </c>
      <c r="L8" s="1">
        <v>81</v>
      </c>
      <c r="M8" s="1">
        <v>84.4</v>
      </c>
      <c r="N8" s="1">
        <v>89.5</v>
      </c>
      <c r="O8" s="1">
        <v>88.1</v>
      </c>
      <c r="P8" s="1">
        <v>91</v>
      </c>
      <c r="Q8" s="1">
        <v>90.7</v>
      </c>
      <c r="R8" s="1">
        <v>94</v>
      </c>
      <c r="S8" s="1">
        <v>92.7</v>
      </c>
      <c r="T8" s="1">
        <v>90.8</v>
      </c>
      <c r="U8" s="1">
        <v>83.6</v>
      </c>
      <c r="V8" s="1">
        <v>83.3</v>
      </c>
      <c r="W8" s="1">
        <v>83.9</v>
      </c>
      <c r="X8" s="1">
        <v>84.1</v>
      </c>
      <c r="Y8" s="1">
        <v>84</v>
      </c>
      <c r="Z8" s="1">
        <v>80</v>
      </c>
      <c r="AA8" s="1">
        <v>83.2</v>
      </c>
      <c r="AB8" s="1">
        <v>85.4</v>
      </c>
      <c r="AC8" s="1">
        <v>80.900000000000006</v>
      </c>
      <c r="AD8" s="1">
        <v>82</v>
      </c>
      <c r="AE8" s="1">
        <v>81.400000000000006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453.5</v>
      </c>
      <c r="D10">
        <v>452</v>
      </c>
      <c r="E10">
        <v>456</v>
      </c>
      <c r="F10">
        <v>450.5</v>
      </c>
      <c r="G10">
        <v>449.5</v>
      </c>
      <c r="H10">
        <v>442.5</v>
      </c>
      <c r="I10">
        <v>439</v>
      </c>
      <c r="J10">
        <v>435</v>
      </c>
      <c r="K10">
        <v>422.5</v>
      </c>
      <c r="L10">
        <v>420</v>
      </c>
      <c r="M10">
        <v>410.5</v>
      </c>
      <c r="N10">
        <v>398.5</v>
      </c>
      <c r="O10">
        <v>400.5</v>
      </c>
      <c r="P10">
        <v>395</v>
      </c>
      <c r="Q10">
        <v>384</v>
      </c>
      <c r="R10">
        <v>381</v>
      </c>
      <c r="S10">
        <v>382</v>
      </c>
      <c r="T10">
        <v>394</v>
      </c>
      <c r="U10" s="2">
        <v>408.5</v>
      </c>
      <c r="V10" s="2">
        <v>414.5</v>
      </c>
      <c r="W10" s="2">
        <v>420.5</v>
      </c>
      <c r="X10" s="2">
        <v>425</v>
      </c>
      <c r="Y10" s="2">
        <v>427</v>
      </c>
      <c r="Z10" s="2">
        <v>432</v>
      </c>
      <c r="AA10" s="2">
        <v>438</v>
      </c>
      <c r="AB10" s="2">
        <v>438</v>
      </c>
      <c r="AC10" s="2">
        <v>441</v>
      </c>
      <c r="AD10" s="2">
        <v>445</v>
      </c>
      <c r="AE10" s="2">
        <v>447</v>
      </c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29.5</v>
      </c>
      <c r="D13">
        <v>30</v>
      </c>
      <c r="E13">
        <v>30</v>
      </c>
      <c r="F13">
        <v>29.5</v>
      </c>
      <c r="G13">
        <v>30.5</v>
      </c>
      <c r="H13">
        <v>30</v>
      </c>
      <c r="I13">
        <v>30</v>
      </c>
      <c r="J13">
        <v>32.5</v>
      </c>
      <c r="K13">
        <v>34</v>
      </c>
      <c r="L13">
        <v>35</v>
      </c>
      <c r="M13">
        <v>37</v>
      </c>
      <c r="N13">
        <v>38.5</v>
      </c>
      <c r="O13">
        <v>44.5</v>
      </c>
      <c r="P13">
        <v>50</v>
      </c>
      <c r="Q13">
        <v>54</v>
      </c>
      <c r="R13">
        <v>60</v>
      </c>
      <c r="S13">
        <v>55</v>
      </c>
      <c r="T13">
        <v>48</v>
      </c>
      <c r="U13">
        <v>34.5</v>
      </c>
      <c r="V13">
        <v>33</v>
      </c>
      <c r="W13">
        <v>32.5</v>
      </c>
      <c r="X13">
        <v>31.5</v>
      </c>
      <c r="Y13">
        <v>30</v>
      </c>
      <c r="Z13">
        <v>30</v>
      </c>
      <c r="AA13">
        <v>30</v>
      </c>
      <c r="AB13">
        <v>30</v>
      </c>
      <c r="AC13">
        <v>30</v>
      </c>
      <c r="AD13">
        <v>30</v>
      </c>
      <c r="AE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6.1686922582960024</v>
      </c>
      <c r="D15">
        <f t="shared" ref="D15:AI15" si="1">D6*SIN(RADIANS(D8))*D12/1000</f>
        <v>6.0729840040036489</v>
      </c>
      <c r="E15">
        <f t="shared" si="1"/>
        <v>5.9167349398453775</v>
      </c>
      <c r="F15">
        <f t="shared" si="1"/>
        <v>5.983690137549968</v>
      </c>
      <c r="G15">
        <f t="shared" si="1"/>
        <v>6.2202911938343854</v>
      </c>
      <c r="H15">
        <f t="shared" si="1"/>
        <v>5.5805949463773015</v>
      </c>
      <c r="I15">
        <f t="shared" si="1"/>
        <v>4.9816385043082114</v>
      </c>
      <c r="J15">
        <f t="shared" si="1"/>
        <v>4.5599832267718101</v>
      </c>
      <c r="K15">
        <f t="shared" si="1"/>
        <v>4.0594766934228144</v>
      </c>
      <c r="L15">
        <f t="shared" si="1"/>
        <v>3.1566420596586546</v>
      </c>
      <c r="M15">
        <f t="shared" si="1"/>
        <v>2.5653160602863676</v>
      </c>
      <c r="N15">
        <f t="shared" si="1"/>
        <v>2.1271080031609513</v>
      </c>
      <c r="O15">
        <f t="shared" si="1"/>
        <v>1.7857816656369578</v>
      </c>
      <c r="P15">
        <f t="shared" si="1"/>
        <v>0.77471598902880734</v>
      </c>
      <c r="Q15">
        <f t="shared" si="1"/>
        <v>0.30969688549123514</v>
      </c>
      <c r="R15">
        <f t="shared" si="1"/>
        <v>-5.7265164305165206E-2</v>
      </c>
      <c r="S15">
        <f t="shared" si="1"/>
        <v>0.53607422919584036</v>
      </c>
      <c r="T15">
        <f t="shared" si="1"/>
        <v>2.3186689634125557</v>
      </c>
      <c r="U15">
        <f t="shared" si="1"/>
        <v>2.9903371078669587</v>
      </c>
      <c r="V15">
        <f t="shared" si="1"/>
        <v>3.6135610298166738</v>
      </c>
      <c r="W15">
        <f t="shared" si="1"/>
        <v>3.9995802012739166</v>
      </c>
      <c r="X15">
        <f t="shared" si="1"/>
        <v>4.7377824490657234</v>
      </c>
      <c r="Y15">
        <f t="shared" si="1"/>
        <v>5.2913626950039561</v>
      </c>
      <c r="Z15">
        <f t="shared" si="1"/>
        <v>5.5565256355866133</v>
      </c>
      <c r="AA15">
        <f t="shared" si="1"/>
        <v>6.0286043979188237</v>
      </c>
      <c r="AB15">
        <f t="shared" si="1"/>
        <v>6.3184288033657463</v>
      </c>
      <c r="AC15">
        <f t="shared" si="1"/>
        <v>6.4167214595502848</v>
      </c>
      <c r="AD15">
        <f t="shared" si="1"/>
        <v>6.6684721067822155</v>
      </c>
      <c r="AE15">
        <f t="shared" si="1"/>
        <v>6.5120375248934952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8201-A5D3-4826-B613-98BAA3DB341B}">
  <dimension ref="A1:AJ15"/>
  <sheetViews>
    <sheetView workbookViewId="0">
      <selection activeCell="D4" sqref="D4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486</v>
      </c>
      <c r="F2" t="s">
        <v>21</v>
      </c>
    </row>
    <row r="3" spans="1:36" x14ac:dyDescent="0.3">
      <c r="B3" s="3" t="s">
        <v>14</v>
      </c>
      <c r="C3">
        <f>C2-C2*0.17</f>
        <v>403.38</v>
      </c>
    </row>
    <row r="4" spans="1:36" x14ac:dyDescent="0.3">
      <c r="B4" s="3" t="s">
        <v>17</v>
      </c>
      <c r="C4">
        <v>405</v>
      </c>
      <c r="D4">
        <f>1-398/486</f>
        <v>0.18106995884773658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26.594999999999999</v>
      </c>
      <c r="D6">
        <v>17.887</v>
      </c>
      <c r="E6">
        <v>16.504000000000001</v>
      </c>
      <c r="F6">
        <v>13.111000000000001</v>
      </c>
    </row>
    <row r="7" spans="1:36" x14ac:dyDescent="0.3">
      <c r="B7" s="6" t="s">
        <v>2</v>
      </c>
      <c r="C7">
        <v>-123</v>
      </c>
      <c r="D7">
        <v>-119</v>
      </c>
      <c r="E7">
        <v>-106</v>
      </c>
      <c r="F7">
        <v>-92</v>
      </c>
    </row>
    <row r="8" spans="1:36" s="1" customFormat="1" x14ac:dyDescent="0.3">
      <c r="A8" s="11" t="s">
        <v>7</v>
      </c>
      <c r="B8" s="7" t="s">
        <v>12</v>
      </c>
      <c r="C8" s="1">
        <v>81</v>
      </c>
      <c r="D8" s="1">
        <v>82</v>
      </c>
      <c r="E8" s="1">
        <v>80.5</v>
      </c>
      <c r="F8" s="1">
        <v>80.7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459</v>
      </c>
      <c r="D10">
        <v>456</v>
      </c>
      <c r="E10">
        <v>447</v>
      </c>
      <c r="F10">
        <v>438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30</v>
      </c>
      <c r="D13">
        <v>30</v>
      </c>
      <c r="E13">
        <v>30</v>
      </c>
      <c r="F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7.0134415686400926</v>
      </c>
      <c r="D15">
        <f t="shared" ref="D15:AI15" si="1">D6*SIN(RADIANS(D8))*D12/1000</f>
        <v>4.7293509604699846</v>
      </c>
      <c r="E15">
        <f t="shared" si="1"/>
        <v>4.3461345705947148</v>
      </c>
      <c r="F15">
        <f t="shared" si="1"/>
        <v>3.4546236345151771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E524-5F19-4B4B-B21A-C95F2596B6A0}">
  <dimension ref="A1:AJ27"/>
  <sheetViews>
    <sheetView workbookViewId="0">
      <selection activeCell="AC18" sqref="AC18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415</v>
      </c>
      <c r="F2" t="s">
        <v>18</v>
      </c>
    </row>
    <row r="3" spans="1:36" x14ac:dyDescent="0.3">
      <c r="B3" s="3" t="s">
        <v>14</v>
      </c>
      <c r="C3">
        <f>C2-C2*0.17</f>
        <v>344.45</v>
      </c>
      <c r="F3" t="s">
        <v>28</v>
      </c>
    </row>
    <row r="4" spans="1:36" x14ac:dyDescent="0.3">
      <c r="B4" s="3" t="s">
        <v>17</v>
      </c>
      <c r="C4">
        <v>349</v>
      </c>
      <c r="D4">
        <f>1-C4/C2</f>
        <v>0.15903614457831328</v>
      </c>
      <c r="U4" t="s">
        <v>16</v>
      </c>
      <c r="AB4" t="s">
        <v>24</v>
      </c>
      <c r="AC4" t="s">
        <v>26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31.943000000000001</v>
      </c>
      <c r="D6">
        <v>28.574000000000002</v>
      </c>
      <c r="E6">
        <v>24.861999999999998</v>
      </c>
      <c r="F6">
        <v>22.024999999999999</v>
      </c>
      <c r="G6">
        <v>23.048999999999999</v>
      </c>
      <c r="H6">
        <v>26.611999999999998</v>
      </c>
      <c r="I6">
        <v>23.187999999999999</v>
      </c>
      <c r="J6">
        <v>24.088000000000001</v>
      </c>
      <c r="K6">
        <v>22.393999999999998</v>
      </c>
      <c r="L6">
        <v>22.852</v>
      </c>
      <c r="M6">
        <v>22.265999999999998</v>
      </c>
      <c r="N6">
        <v>19.311</v>
      </c>
      <c r="O6">
        <v>17.440000000000001</v>
      </c>
      <c r="P6">
        <v>13.32</v>
      </c>
      <c r="Q6">
        <v>10.851000000000001</v>
      </c>
      <c r="R6">
        <v>6.944</v>
      </c>
      <c r="S6">
        <v>1.194</v>
      </c>
      <c r="T6">
        <v>6.7211999999999996</v>
      </c>
      <c r="U6">
        <v>12.542</v>
      </c>
      <c r="V6">
        <v>20.151</v>
      </c>
      <c r="W6">
        <v>25.43</v>
      </c>
      <c r="X6">
        <v>25.536999999999999</v>
      </c>
      <c r="Y6">
        <v>28.138000000000002</v>
      </c>
      <c r="Z6">
        <v>29.704000000000001</v>
      </c>
      <c r="AA6">
        <v>30.516999999999999</v>
      </c>
      <c r="AB6">
        <v>33.405999999999999</v>
      </c>
      <c r="AC6">
        <v>33.061999999999998</v>
      </c>
    </row>
    <row r="7" spans="1:36" x14ac:dyDescent="0.3">
      <c r="B7" s="6" t="s">
        <v>2</v>
      </c>
      <c r="C7">
        <v>-76.5</v>
      </c>
      <c r="D7">
        <v>-69</v>
      </c>
      <c r="E7">
        <v>-51.5</v>
      </c>
      <c r="F7">
        <v>-40.5</v>
      </c>
      <c r="G7">
        <v>-39.5</v>
      </c>
      <c r="H7">
        <v>-55.5</v>
      </c>
      <c r="I7">
        <v>-35</v>
      </c>
      <c r="J7">
        <v>-25.5</v>
      </c>
      <c r="K7">
        <v>-20</v>
      </c>
      <c r="L7">
        <v>-12.5</v>
      </c>
      <c r="M7">
        <v>-5</v>
      </c>
      <c r="N7">
        <v>0.5</v>
      </c>
      <c r="O7">
        <v>4</v>
      </c>
      <c r="P7">
        <v>12.5</v>
      </c>
      <c r="Q7">
        <v>20</v>
      </c>
      <c r="R7">
        <v>28</v>
      </c>
      <c r="S7">
        <v>35</v>
      </c>
      <c r="T7">
        <v>23</v>
      </c>
      <c r="U7">
        <v>20</v>
      </c>
      <c r="V7">
        <v>11</v>
      </c>
      <c r="W7">
        <v>1</v>
      </c>
      <c r="X7">
        <v>-16</v>
      </c>
      <c r="Y7">
        <v>-24</v>
      </c>
      <c r="Z7">
        <v>-44</v>
      </c>
      <c r="AA7">
        <v>-53.4</v>
      </c>
      <c r="AB7">
        <v>-66</v>
      </c>
    </row>
    <row r="8" spans="1:36" s="1" customFormat="1" x14ac:dyDescent="0.3">
      <c r="A8" s="11" t="s">
        <v>7</v>
      </c>
      <c r="B8" s="7" t="s">
        <v>12</v>
      </c>
      <c r="C8" s="1">
        <v>85.7</v>
      </c>
      <c r="D8" s="1">
        <v>81.2</v>
      </c>
      <c r="E8" s="1">
        <v>85.7</v>
      </c>
      <c r="F8" s="1">
        <v>82.9</v>
      </c>
      <c r="G8" s="1">
        <v>84</v>
      </c>
      <c r="H8" s="1">
        <v>80.400000000000006</v>
      </c>
      <c r="I8" s="1">
        <v>86.3</v>
      </c>
      <c r="J8" s="1">
        <v>83.6</v>
      </c>
      <c r="K8" s="1">
        <v>86.5</v>
      </c>
      <c r="L8" s="1">
        <v>88.4</v>
      </c>
      <c r="M8" s="1">
        <v>87.1</v>
      </c>
      <c r="N8" s="1">
        <v>71.2</v>
      </c>
      <c r="O8" s="1">
        <v>70</v>
      </c>
      <c r="P8" s="1">
        <v>72.3</v>
      </c>
      <c r="Q8" s="1">
        <v>74.8</v>
      </c>
      <c r="R8" s="1">
        <v>71.5</v>
      </c>
      <c r="S8" s="1">
        <v>74.2</v>
      </c>
      <c r="T8" s="1">
        <v>74.099999999999994</v>
      </c>
      <c r="U8" s="1">
        <v>73.099999999999994</v>
      </c>
      <c r="V8" s="1">
        <v>73</v>
      </c>
      <c r="W8" s="1">
        <v>68.2</v>
      </c>
      <c r="X8" s="1">
        <v>90.7</v>
      </c>
      <c r="Y8" s="1">
        <v>89.1</v>
      </c>
      <c r="Z8" s="1">
        <v>86</v>
      </c>
      <c r="AA8" s="1">
        <v>84.5</v>
      </c>
      <c r="AB8" s="1">
        <v>83.5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413.5</v>
      </c>
      <c r="D10">
        <v>405.5</v>
      </c>
      <c r="E10">
        <v>402</v>
      </c>
      <c r="F10">
        <v>400</v>
      </c>
      <c r="G10">
        <v>403</v>
      </c>
      <c r="H10">
        <v>412</v>
      </c>
      <c r="I10">
        <v>401</v>
      </c>
      <c r="J10">
        <v>398</v>
      </c>
      <c r="K10">
        <v>392.5</v>
      </c>
      <c r="L10">
        <v>385</v>
      </c>
      <c r="M10">
        <v>385.5</v>
      </c>
      <c r="N10">
        <v>371.5</v>
      </c>
      <c r="O10">
        <v>365</v>
      </c>
      <c r="P10">
        <v>361</v>
      </c>
      <c r="Q10">
        <v>356</v>
      </c>
      <c r="R10">
        <v>355</v>
      </c>
      <c r="S10">
        <v>346</v>
      </c>
      <c r="T10">
        <v>348</v>
      </c>
      <c r="U10" s="2">
        <v>354</v>
      </c>
      <c r="V10" s="2">
        <v>365</v>
      </c>
      <c r="W10" s="2">
        <v>376</v>
      </c>
      <c r="X10" s="2">
        <v>398</v>
      </c>
      <c r="Y10" s="2">
        <v>395</v>
      </c>
      <c r="Z10" s="2">
        <v>400</v>
      </c>
      <c r="AA10" s="2">
        <v>407</v>
      </c>
      <c r="AB10" s="2">
        <v>413</v>
      </c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28</v>
      </c>
      <c r="D13">
        <v>30.5</v>
      </c>
      <c r="E13">
        <v>31.5</v>
      </c>
      <c r="F13">
        <v>31</v>
      </c>
      <c r="G13">
        <v>32</v>
      </c>
      <c r="H13">
        <v>31</v>
      </c>
      <c r="I13">
        <v>35</v>
      </c>
      <c r="J13">
        <v>32</v>
      </c>
      <c r="K13">
        <v>41</v>
      </c>
      <c r="L13">
        <v>44.5</v>
      </c>
      <c r="M13">
        <v>45.5</v>
      </c>
      <c r="N13">
        <v>55.5</v>
      </c>
      <c r="O13">
        <v>66.5</v>
      </c>
      <c r="P13">
        <v>62</v>
      </c>
      <c r="Q13">
        <v>65</v>
      </c>
      <c r="R13">
        <v>68.5</v>
      </c>
      <c r="S13">
        <v>71</v>
      </c>
      <c r="T13">
        <v>67</v>
      </c>
      <c r="U13">
        <v>60</v>
      </c>
      <c r="V13">
        <v>55</v>
      </c>
      <c r="W13">
        <v>55</v>
      </c>
      <c r="X13">
        <v>42</v>
      </c>
      <c r="Y13">
        <v>38</v>
      </c>
      <c r="Z13">
        <v>31</v>
      </c>
      <c r="AA13">
        <v>29</v>
      </c>
      <c r="AB13">
        <v>28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8.5047736202914699</v>
      </c>
      <c r="D15">
        <f>D6*SIN(RADIANS(D8))*D12/1000</f>
        <v>7.5394492849781658</v>
      </c>
      <c r="E15">
        <f t="shared" ref="E15:AI15" si="1">E6*SIN(RADIANS(E8))*E12/1000</f>
        <v>6.6194684828502801</v>
      </c>
      <c r="F15">
        <f t="shared" si="1"/>
        <v>5.8355816188247456</v>
      </c>
      <c r="G15">
        <f t="shared" si="1"/>
        <v>6.1203702894136685</v>
      </c>
      <c r="H15">
        <f t="shared" si="1"/>
        <v>7.0059001857849141</v>
      </c>
      <c r="I15">
        <f t="shared" si="1"/>
        <v>6.1782911841842409</v>
      </c>
      <c r="J15">
        <f t="shared" si="1"/>
        <v>6.391414397009699</v>
      </c>
      <c r="K15">
        <f t="shared" si="1"/>
        <v>5.9680455904544294</v>
      </c>
      <c r="L15">
        <f t="shared" si="1"/>
        <v>6.0991051231568809</v>
      </c>
      <c r="M15">
        <f t="shared" si="1"/>
        <v>5.937408550285844</v>
      </c>
      <c r="N15">
        <f t="shared" si="1"/>
        <v>4.880958611179155</v>
      </c>
      <c r="O15">
        <f t="shared" si="1"/>
        <v>4.3756598948371668</v>
      </c>
      <c r="P15">
        <f t="shared" si="1"/>
        <v>3.388083398389504</v>
      </c>
      <c r="Q15">
        <f t="shared" si="1"/>
        <v>2.7958621930655867</v>
      </c>
      <c r="R15">
        <f t="shared" si="1"/>
        <v>1.7582375762877434</v>
      </c>
      <c r="S15">
        <f t="shared" si="1"/>
        <v>0.30675317190114915</v>
      </c>
      <c r="T15">
        <f t="shared" si="1"/>
        <v>1.7259028691611564</v>
      </c>
      <c r="U15">
        <f t="shared" si="1"/>
        <v>3.2040950443238865</v>
      </c>
      <c r="V15">
        <f t="shared" si="1"/>
        <v>5.1452227356887708</v>
      </c>
      <c r="W15">
        <f t="shared" si="1"/>
        <v>6.3042423522142954</v>
      </c>
      <c r="X15">
        <f t="shared" si="1"/>
        <v>6.8178701420600625</v>
      </c>
      <c r="Y15">
        <f t="shared" si="1"/>
        <v>7.5119191588333143</v>
      </c>
      <c r="Z15">
        <f t="shared" si="1"/>
        <v>7.9116485605610567</v>
      </c>
      <c r="AA15">
        <f t="shared" si="1"/>
        <v>8.1105270447475082</v>
      </c>
      <c r="AB15">
        <f t="shared" si="1"/>
        <v>8.8620667966654647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">
      <c r="U16" t="s">
        <v>23</v>
      </c>
      <c r="AB16" t="s">
        <v>25</v>
      </c>
    </row>
    <row r="17" spans="17:29" x14ac:dyDescent="0.3">
      <c r="AB17">
        <v>2.2241</v>
      </c>
    </row>
    <row r="18" spans="17:29" x14ac:dyDescent="0.3">
      <c r="AC18" t="s">
        <v>27</v>
      </c>
    </row>
    <row r="24" spans="17:29" x14ac:dyDescent="0.3">
      <c r="Q24" t="s">
        <v>44</v>
      </c>
    </row>
    <row r="25" spans="17:29" x14ac:dyDescent="0.3">
      <c r="Q25" t="s">
        <v>42</v>
      </c>
      <c r="R25">
        <v>630</v>
      </c>
      <c r="S25">
        <v>-1.4999999999999999E-2</v>
      </c>
    </row>
    <row r="26" spans="17:29" x14ac:dyDescent="0.3">
      <c r="Q26" t="s">
        <v>43</v>
      </c>
      <c r="R26">
        <v>-1.4999999999999999E-2</v>
      </c>
      <c r="S26">
        <v>0</v>
      </c>
    </row>
    <row r="27" spans="17:29" x14ac:dyDescent="0.3">
      <c r="R27">
        <v>505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766-4925-4D35-B304-44784D2D9843}">
  <dimension ref="A1:Q16"/>
  <sheetViews>
    <sheetView workbookViewId="0">
      <selection activeCell="N10" sqref="N10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17" x14ac:dyDescent="0.3">
      <c r="A1" s="3" t="s">
        <v>38</v>
      </c>
    </row>
    <row r="2" spans="1:17" x14ac:dyDescent="0.3">
      <c r="A2" s="3" t="s">
        <v>5</v>
      </c>
      <c r="C2">
        <v>415</v>
      </c>
      <c r="E2" t="s">
        <v>37</v>
      </c>
    </row>
    <row r="3" spans="1:17" x14ac:dyDescent="0.3">
      <c r="A3" s="3" t="s">
        <v>36</v>
      </c>
      <c r="C3">
        <v>350</v>
      </c>
    </row>
    <row r="4" spans="1:17" x14ac:dyDescent="0.3">
      <c r="A4" s="3" t="s">
        <v>35</v>
      </c>
      <c r="C4" t="s">
        <v>40</v>
      </c>
      <c r="L4" t="s">
        <v>16</v>
      </c>
    </row>
    <row r="5" spans="1:17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3">
      <c r="B6" s="5" t="s">
        <v>1</v>
      </c>
      <c r="C6">
        <v>16.523</v>
      </c>
      <c r="D6">
        <v>15.112</v>
      </c>
      <c r="E6">
        <v>14.148999999999999</v>
      </c>
      <c r="F6">
        <v>13.564</v>
      </c>
      <c r="G6">
        <v>12.457000000000001</v>
      </c>
      <c r="H6">
        <v>11.634</v>
      </c>
      <c r="I6">
        <v>11.49</v>
      </c>
      <c r="J6">
        <v>11.263999999999999</v>
      </c>
      <c r="K6">
        <v>10.896000000000001</v>
      </c>
      <c r="L6">
        <v>9.6492000000000004</v>
      </c>
      <c r="M6">
        <v>6.7404000000000002</v>
      </c>
      <c r="N6">
        <v>1.5812999999999999</v>
      </c>
      <c r="O6">
        <v>7.0465</v>
      </c>
      <c r="P6">
        <v>6.2092000000000001</v>
      </c>
    </row>
    <row r="7" spans="1:17" x14ac:dyDescent="0.3">
      <c r="B7" s="6" t="s">
        <v>2</v>
      </c>
      <c r="C7">
        <v>-120</v>
      </c>
      <c r="D7">
        <v>-109</v>
      </c>
      <c r="E7">
        <v>-101</v>
      </c>
      <c r="F7">
        <v>-97</v>
      </c>
      <c r="G7">
        <v>-89</v>
      </c>
      <c r="H7">
        <v>-87</v>
      </c>
      <c r="I7">
        <v>-81.5</v>
      </c>
      <c r="J7">
        <v>-75</v>
      </c>
      <c r="K7">
        <v>-74</v>
      </c>
      <c r="L7">
        <v>-59.5</v>
      </c>
      <c r="M7">
        <v>-48.5</v>
      </c>
      <c r="N7">
        <v>-3</v>
      </c>
      <c r="O7">
        <v>-30</v>
      </c>
      <c r="P7">
        <v>-18.5</v>
      </c>
    </row>
    <row r="8" spans="1:17" s="1" customFormat="1" x14ac:dyDescent="0.3">
      <c r="A8" s="11" t="s">
        <v>7</v>
      </c>
      <c r="B8" s="7" t="s">
        <v>34</v>
      </c>
      <c r="C8" s="1">
        <v>77.8</v>
      </c>
      <c r="D8" s="1">
        <v>80.8</v>
      </c>
      <c r="E8" s="1">
        <v>82.3</v>
      </c>
      <c r="F8" s="1">
        <v>80.7</v>
      </c>
      <c r="G8" s="1">
        <v>80.8</v>
      </c>
      <c r="H8" s="1">
        <v>78.3</v>
      </c>
      <c r="I8" s="1">
        <v>82.5</v>
      </c>
      <c r="J8" s="1">
        <v>80.400000000000006</v>
      </c>
      <c r="K8" s="1">
        <v>79.400000000000006</v>
      </c>
      <c r="L8" s="1">
        <v>81.400000000000006</v>
      </c>
      <c r="M8" s="1">
        <v>86.8</v>
      </c>
      <c r="N8" s="1">
        <v>90.8</v>
      </c>
      <c r="O8" s="1">
        <v>88.2</v>
      </c>
      <c r="P8" s="1">
        <v>90.5</v>
      </c>
    </row>
    <row r="9" spans="1:17" x14ac:dyDescent="0.3">
      <c r="A9" s="12"/>
      <c r="B9" s="8" t="s">
        <v>3</v>
      </c>
      <c r="C9">
        <v>408</v>
      </c>
      <c r="D9">
        <v>402</v>
      </c>
      <c r="E9">
        <v>380</v>
      </c>
      <c r="F9">
        <v>394</v>
      </c>
      <c r="G9">
        <v>390.5</v>
      </c>
      <c r="H9">
        <v>387</v>
      </c>
      <c r="I9">
        <v>383.5</v>
      </c>
      <c r="J9">
        <v>383</v>
      </c>
      <c r="K9">
        <v>381</v>
      </c>
      <c r="L9">
        <v>371</v>
      </c>
      <c r="M9">
        <v>363</v>
      </c>
      <c r="N9">
        <v>340</v>
      </c>
      <c r="O9">
        <v>355</v>
      </c>
      <c r="P9">
        <v>353</v>
      </c>
    </row>
    <row r="10" spans="1:17" s="1" customFormat="1" x14ac:dyDescent="0.3">
      <c r="A10" s="11" t="s">
        <v>8</v>
      </c>
      <c r="B10" s="7" t="s">
        <v>9</v>
      </c>
    </row>
    <row r="11" spans="1:17" x14ac:dyDescent="0.3">
      <c r="A11" s="12"/>
      <c r="B11" s="8" t="s">
        <v>33</v>
      </c>
    </row>
    <row r="12" spans="1:17" x14ac:dyDescent="0.3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</row>
    <row r="13" spans="1:17" x14ac:dyDescent="0.3">
      <c r="A13" s="12"/>
      <c r="B13" s="8" t="s">
        <v>11</v>
      </c>
      <c r="C13">
        <v>42</v>
      </c>
      <c r="D13">
        <v>42</v>
      </c>
      <c r="E13">
        <v>42</v>
      </c>
      <c r="F13">
        <v>42</v>
      </c>
      <c r="G13">
        <v>41.5</v>
      </c>
      <c r="H13">
        <v>36</v>
      </c>
      <c r="I13">
        <v>37</v>
      </c>
      <c r="J13">
        <v>36</v>
      </c>
      <c r="K13">
        <v>36</v>
      </c>
      <c r="L13">
        <v>30.5</v>
      </c>
      <c r="M13">
        <v>22</v>
      </c>
      <c r="N13">
        <v>42</v>
      </c>
      <c r="O13">
        <v>28</v>
      </c>
      <c r="P13">
        <v>24</v>
      </c>
    </row>
    <row r="14" spans="1:17" s="2" customFormat="1" x14ac:dyDescent="0.3">
      <c r="A14" s="13"/>
      <c r="B14" s="9" t="s">
        <v>4</v>
      </c>
    </row>
    <row r="15" spans="1:17" x14ac:dyDescent="0.3">
      <c r="B15" s="5" t="s">
        <v>6</v>
      </c>
      <c r="C15">
        <f t="shared" ref="C15:Q15" si="0">C6*SIN(RADIANS(C8))*C12/1000</f>
        <v>4.0327772509041173</v>
      </c>
      <c r="D15">
        <f t="shared" si="0"/>
        <v>3.7250747045067913</v>
      </c>
      <c r="E15">
        <f t="shared" si="0"/>
        <v>3.5012891110164026</v>
      </c>
      <c r="F15">
        <f t="shared" si="0"/>
        <v>3.3425458781636546</v>
      </c>
      <c r="G15">
        <f t="shared" si="0"/>
        <v>3.0706230541318886</v>
      </c>
      <c r="H15">
        <f t="shared" si="0"/>
        <v>2.8447657840215617</v>
      </c>
      <c r="I15">
        <f t="shared" si="0"/>
        <v>2.8446217708736867</v>
      </c>
      <c r="J15">
        <f t="shared" si="0"/>
        <v>2.7733440251756893</v>
      </c>
      <c r="K15">
        <f t="shared" si="0"/>
        <v>2.6744099726497295</v>
      </c>
      <c r="L15">
        <f t="shared" si="0"/>
        <v>2.3824102126588129</v>
      </c>
      <c r="M15">
        <f t="shared" si="0"/>
        <v>1.6805208635862576</v>
      </c>
      <c r="N15">
        <f t="shared" si="0"/>
        <v>0.39482793300422558</v>
      </c>
      <c r="O15">
        <f t="shared" si="0"/>
        <v>1.7587132677407729</v>
      </c>
      <c r="P15">
        <f t="shared" si="0"/>
        <v>1.550440293736433</v>
      </c>
      <c r="Q15">
        <f t="shared" si="0"/>
        <v>0</v>
      </c>
    </row>
    <row r="16" spans="1:17" x14ac:dyDescent="0.3">
      <c r="L16" t="s">
        <v>39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D1C8-56B8-47D8-90D4-245D22EBCA01}">
  <dimension ref="A1:AE15"/>
  <sheetViews>
    <sheetView workbookViewId="0">
      <selection activeCell="C9" sqref="C9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415</v>
      </c>
      <c r="E2" t="s">
        <v>37</v>
      </c>
    </row>
    <row r="3" spans="1:31" x14ac:dyDescent="0.3">
      <c r="A3" s="3" t="s">
        <v>36</v>
      </c>
      <c r="C3">
        <v>350</v>
      </c>
    </row>
    <row r="4" spans="1:31" x14ac:dyDescent="0.3">
      <c r="A4" s="3" t="s">
        <v>35</v>
      </c>
      <c r="C4" t="s">
        <v>40</v>
      </c>
    </row>
    <row r="5" spans="1:31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>
        <v>2.2372000000000001</v>
      </c>
      <c r="D6">
        <v>4.3940999999999999</v>
      </c>
      <c r="E6">
        <v>7.0701000000000001</v>
      </c>
      <c r="F6">
        <v>7.2348999999999997</v>
      </c>
      <c r="G6">
        <v>10.673</v>
      </c>
      <c r="H6">
        <v>11.206</v>
      </c>
      <c r="I6">
        <v>8.9809999999999999</v>
      </c>
      <c r="J6">
        <v>13.375</v>
      </c>
      <c r="K6">
        <v>13.815</v>
      </c>
      <c r="L6">
        <v>14.813000000000001</v>
      </c>
      <c r="M6">
        <v>15.010999999999999</v>
      </c>
      <c r="N6">
        <v>15.542999999999999</v>
      </c>
      <c r="O6">
        <v>14.58</v>
      </c>
      <c r="P6">
        <v>15.092000000000001</v>
      </c>
      <c r="Q6">
        <v>15.878</v>
      </c>
      <c r="R6">
        <v>18.638999999999999</v>
      </c>
      <c r="S6">
        <v>17.72</v>
      </c>
    </row>
    <row r="7" spans="1:31" x14ac:dyDescent="0.3">
      <c r="B7" s="6" t="s">
        <v>2</v>
      </c>
      <c r="C7">
        <v>1.5</v>
      </c>
      <c r="D7">
        <v>-5.5</v>
      </c>
      <c r="E7">
        <v>-14.5</v>
      </c>
      <c r="F7">
        <v>-20</v>
      </c>
      <c r="G7">
        <v>-28.5</v>
      </c>
      <c r="H7">
        <v>-35.5</v>
      </c>
      <c r="I7">
        <v>-40</v>
      </c>
      <c r="J7">
        <v>-50.5</v>
      </c>
      <c r="K7">
        <v>-60</v>
      </c>
      <c r="L7">
        <v>-66.5</v>
      </c>
      <c r="M7">
        <v>-72.5</v>
      </c>
      <c r="N7">
        <v>-78.5</v>
      </c>
      <c r="O7">
        <v>-88</v>
      </c>
      <c r="P7">
        <v>-94.5</v>
      </c>
      <c r="Q7">
        <v>-105</v>
      </c>
      <c r="R7">
        <v>-112.5</v>
      </c>
      <c r="S7">
        <v>-119.5</v>
      </c>
    </row>
    <row r="8" spans="1:31" s="1" customFormat="1" x14ac:dyDescent="0.3">
      <c r="A8" s="11" t="s">
        <v>7</v>
      </c>
      <c r="B8" s="7" t="s">
        <v>34</v>
      </c>
      <c r="C8" s="1">
        <v>82.8</v>
      </c>
      <c r="D8" s="1">
        <v>59.1</v>
      </c>
      <c r="E8" s="1">
        <v>90.3</v>
      </c>
      <c r="F8" s="1">
        <v>84.2</v>
      </c>
      <c r="G8" s="1">
        <v>84</v>
      </c>
      <c r="H8" s="1">
        <v>81.400000000000006</v>
      </c>
      <c r="I8" s="1">
        <v>80.400000000000006</v>
      </c>
      <c r="J8" s="1">
        <v>78.7</v>
      </c>
      <c r="K8" s="1">
        <v>82.9</v>
      </c>
      <c r="L8" s="1">
        <v>77.5</v>
      </c>
      <c r="M8" s="1">
        <v>79.7</v>
      </c>
      <c r="N8" s="1">
        <v>81</v>
      </c>
      <c r="O8" s="1">
        <v>80.2</v>
      </c>
      <c r="P8" s="1">
        <v>70.599999999999994</v>
      </c>
      <c r="Q8" s="1">
        <v>95.1</v>
      </c>
      <c r="R8" s="1">
        <v>79</v>
      </c>
      <c r="S8" s="1">
        <v>85</v>
      </c>
    </row>
    <row r="9" spans="1:31" x14ac:dyDescent="0.3">
      <c r="A9" s="12"/>
      <c r="B9" s="8" t="s">
        <v>3</v>
      </c>
      <c r="C9">
        <v>1</v>
      </c>
      <c r="D9">
        <v>340</v>
      </c>
      <c r="E9">
        <v>350</v>
      </c>
      <c r="F9">
        <v>350.5</v>
      </c>
      <c r="G9">
        <v>354</v>
      </c>
      <c r="H9">
        <v>362</v>
      </c>
      <c r="I9">
        <v>366</v>
      </c>
      <c r="J9">
        <v>363</v>
      </c>
      <c r="K9">
        <v>368</v>
      </c>
      <c r="L9">
        <v>373</v>
      </c>
      <c r="M9">
        <v>376</v>
      </c>
      <c r="N9">
        <v>383</v>
      </c>
      <c r="O9">
        <v>384</v>
      </c>
      <c r="P9">
        <v>394</v>
      </c>
      <c r="Q9">
        <v>391</v>
      </c>
      <c r="R9">
        <v>394.5</v>
      </c>
      <c r="S9">
        <v>395</v>
      </c>
    </row>
    <row r="10" spans="1:31" s="1" customFormat="1" x14ac:dyDescent="0.3">
      <c r="A10" s="11" t="s">
        <v>8</v>
      </c>
      <c r="B10" s="7" t="s">
        <v>9</v>
      </c>
    </row>
    <row r="11" spans="1:31" x14ac:dyDescent="0.3">
      <c r="A11" s="12"/>
      <c r="B11" s="8" t="s">
        <v>33</v>
      </c>
    </row>
    <row r="12" spans="1:31" x14ac:dyDescent="0.3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  <c r="R12">
        <v>249.71</v>
      </c>
      <c r="S12">
        <v>249.71</v>
      </c>
      <c r="T12">
        <v>249.71</v>
      </c>
      <c r="U12">
        <v>249.71</v>
      </c>
      <c r="V12">
        <v>249.71</v>
      </c>
      <c r="W12">
        <v>249.71</v>
      </c>
      <c r="X12">
        <v>249.71</v>
      </c>
      <c r="Y12">
        <v>249.71</v>
      </c>
      <c r="Z12">
        <v>249.71</v>
      </c>
      <c r="AA12">
        <v>249.71</v>
      </c>
      <c r="AB12">
        <v>249.71</v>
      </c>
      <c r="AC12">
        <v>249.71</v>
      </c>
      <c r="AD12">
        <v>249.71</v>
      </c>
      <c r="AE12">
        <v>249.71</v>
      </c>
    </row>
    <row r="13" spans="1:31" x14ac:dyDescent="0.3">
      <c r="A13" s="12"/>
      <c r="B13" s="8" t="s">
        <v>11</v>
      </c>
      <c r="C13">
        <v>55</v>
      </c>
      <c r="D13">
        <v>43.5</v>
      </c>
      <c r="E13">
        <v>42.5</v>
      </c>
      <c r="F13">
        <v>37</v>
      </c>
      <c r="G13">
        <v>35</v>
      </c>
      <c r="H13">
        <v>33</v>
      </c>
      <c r="I13">
        <v>35</v>
      </c>
      <c r="J13">
        <v>34</v>
      </c>
      <c r="K13">
        <v>35</v>
      </c>
      <c r="L13">
        <v>34</v>
      </c>
      <c r="M13">
        <v>36</v>
      </c>
      <c r="N13">
        <v>36</v>
      </c>
      <c r="O13">
        <v>36</v>
      </c>
      <c r="P13">
        <v>36</v>
      </c>
      <c r="Q13">
        <v>36</v>
      </c>
      <c r="R13">
        <v>36</v>
      </c>
      <c r="S13">
        <v>36</v>
      </c>
    </row>
    <row r="14" spans="1:31" s="2" customFormat="1" x14ac:dyDescent="0.3">
      <c r="A14" s="13"/>
      <c r="B14" s="9" t="s">
        <v>4</v>
      </c>
    </row>
    <row r="15" spans="1:31" x14ac:dyDescent="0.3">
      <c r="B15" s="5" t="s">
        <v>6</v>
      </c>
      <c r="C15">
        <f>C6*SIN(RADIANS(C8))*C12/1000</f>
        <v>0.55424608033235112</v>
      </c>
      <c r="D15">
        <f t="shared" ref="D15:AE15" si="0">D6*SIN(RADIANS(D8))*D12/1000</f>
        <v>0.94151232788941708</v>
      </c>
      <c r="E15">
        <f t="shared" si="0"/>
        <v>1.7654504703100355</v>
      </c>
      <c r="F15">
        <f t="shared" si="0"/>
        <v>1.7973782299686616</v>
      </c>
      <c r="G15">
        <f t="shared" si="0"/>
        <v>2.6505548329815083</v>
      </c>
      <c r="H15">
        <f t="shared" si="0"/>
        <v>2.7667878003414437</v>
      </c>
      <c r="I15">
        <f t="shared" si="0"/>
        <v>2.2112395854139617</v>
      </c>
      <c r="J15">
        <f t="shared" si="0"/>
        <v>3.2751267054083995</v>
      </c>
      <c r="K15">
        <f t="shared" si="0"/>
        <v>3.4232908014126586</v>
      </c>
      <c r="L15">
        <f t="shared" si="0"/>
        <v>3.6112742452683877</v>
      </c>
      <c r="M15">
        <f t="shared" si="0"/>
        <v>3.6879915375968162</v>
      </c>
      <c r="N15">
        <f t="shared" si="0"/>
        <v>3.8334579939029743</v>
      </c>
      <c r="O15">
        <f t="shared" si="0"/>
        <v>3.5876452882959535</v>
      </c>
      <c r="P15">
        <f t="shared" si="0"/>
        <v>3.5546509046937125</v>
      </c>
      <c r="Q15">
        <f t="shared" si="0"/>
        <v>3.9491986185374381</v>
      </c>
      <c r="R15">
        <f t="shared" si="0"/>
        <v>4.5688312688392907</v>
      </c>
      <c r="S15">
        <f t="shared" si="0"/>
        <v>4.4080232672318793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1B-CFA9-4E3E-A27D-F86FFAE12463}">
  <dimension ref="A1:AE16"/>
  <sheetViews>
    <sheetView zoomScale="106" workbookViewId="0">
      <selection activeCell="H4" sqref="H4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9.6640625" bestFit="1" customWidth="1"/>
    <col min="9" max="9" width="13.44140625" customWidth="1"/>
    <col min="10" max="10" width="14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403</v>
      </c>
      <c r="E2" t="s">
        <v>46</v>
      </c>
    </row>
    <row r="3" spans="1:31" x14ac:dyDescent="0.3">
      <c r="A3" s="3" t="s">
        <v>36</v>
      </c>
      <c r="C3">
        <v>345</v>
      </c>
    </row>
    <row r="4" spans="1:31" x14ac:dyDescent="0.3">
      <c r="A4" s="3" t="s">
        <v>35</v>
      </c>
      <c r="C4">
        <v>0</v>
      </c>
      <c r="H4" t="s">
        <v>49</v>
      </c>
    </row>
    <row r="5" spans="1:31" s="10" customFormat="1" x14ac:dyDescent="0.3">
      <c r="B5" s="4" t="s">
        <v>0</v>
      </c>
      <c r="C5" s="1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15">
        <v>2.2372000000000001</v>
      </c>
      <c r="D6">
        <v>1.6</v>
      </c>
      <c r="E6">
        <v>27.57</v>
      </c>
      <c r="F6">
        <v>28.35</v>
      </c>
      <c r="G6">
        <v>22</v>
      </c>
      <c r="H6" t="s">
        <v>48</v>
      </c>
    </row>
    <row r="7" spans="1:31" x14ac:dyDescent="0.3">
      <c r="B7" s="6" t="s">
        <v>2</v>
      </c>
      <c r="C7" s="15">
        <v>1.5</v>
      </c>
      <c r="D7">
        <v>28</v>
      </c>
      <c r="E7">
        <v>-32</v>
      </c>
      <c r="F7">
        <v>-14</v>
      </c>
      <c r="G7">
        <v>4</v>
      </c>
    </row>
    <row r="8" spans="1:31" x14ac:dyDescent="0.3">
      <c r="B8" s="7" t="s">
        <v>47</v>
      </c>
      <c r="C8" s="15">
        <v>620</v>
      </c>
      <c r="D8">
        <v>628</v>
      </c>
      <c r="E8">
        <v>628.1</v>
      </c>
      <c r="F8">
        <v>629.70000000000005</v>
      </c>
      <c r="G8">
        <v>628.9</v>
      </c>
    </row>
    <row r="9" spans="1:31" s="1" customFormat="1" x14ac:dyDescent="0.3">
      <c r="A9" s="11" t="s">
        <v>7</v>
      </c>
      <c r="B9" s="7" t="s">
        <v>34</v>
      </c>
      <c r="C9" s="16">
        <v>82.8</v>
      </c>
      <c r="D9" s="1">
        <v>82</v>
      </c>
      <c r="E9" s="1">
        <v>70.5</v>
      </c>
      <c r="F9" s="1">
        <v>71</v>
      </c>
      <c r="G9" s="1">
        <v>75</v>
      </c>
    </row>
    <row r="10" spans="1:31" x14ac:dyDescent="0.3">
      <c r="A10" s="12"/>
      <c r="B10" s="8" t="s">
        <v>3</v>
      </c>
      <c r="C10" s="15">
        <v>340</v>
      </c>
      <c r="D10">
        <v>334</v>
      </c>
      <c r="E10">
        <f>260+120</f>
        <v>380</v>
      </c>
      <c r="F10">
        <v>373</v>
      </c>
      <c r="G10">
        <v>357</v>
      </c>
    </row>
    <row r="11" spans="1:31" s="1" customFormat="1" x14ac:dyDescent="0.3">
      <c r="A11" s="11" t="s">
        <v>8</v>
      </c>
      <c r="B11" s="7" t="s">
        <v>9</v>
      </c>
      <c r="C11" s="16"/>
    </row>
    <row r="12" spans="1:31" x14ac:dyDescent="0.3">
      <c r="A12" s="12"/>
      <c r="B12" s="8" t="s">
        <v>33</v>
      </c>
      <c r="C12" s="15"/>
    </row>
    <row r="13" spans="1:31" x14ac:dyDescent="0.3">
      <c r="A13" s="12"/>
      <c r="B13" s="8" t="s">
        <v>10</v>
      </c>
      <c r="C13" s="15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15"/>
      <c r="D14">
        <v>70</v>
      </c>
      <c r="E14">
        <v>32.5</v>
      </c>
      <c r="F14">
        <v>41</v>
      </c>
      <c r="G14">
        <v>57</v>
      </c>
    </row>
    <row r="15" spans="1:31" s="2" customFormat="1" x14ac:dyDescent="0.3">
      <c r="A15" s="13"/>
      <c r="B15" s="9" t="s">
        <v>4</v>
      </c>
      <c r="C15" s="17"/>
    </row>
    <row r="16" spans="1:31" x14ac:dyDescent="0.3">
      <c r="B16" s="5" t="s">
        <v>6</v>
      </c>
      <c r="C16" s="15">
        <f>C6*SIN(RADIANS(C9))*C13/1000</f>
        <v>0.55424608033235112</v>
      </c>
      <c r="D16">
        <f t="shared" ref="D16:S16" si="0">D6*SIN(RADIANS(D9))*D13/1000</f>
        <v>0.3956477431127321</v>
      </c>
      <c r="E16">
        <f t="shared" si="0"/>
        <v>6.4896197758391105</v>
      </c>
      <c r="F16">
        <f t="shared" si="0"/>
        <v>6.6935893235908681</v>
      </c>
      <c r="G16">
        <f t="shared" si="0"/>
        <v>5.3064294378181511</v>
      </c>
      <c r="H16" t="e">
        <f t="shared" si="0"/>
        <v>#VALUE!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6C4B-FDDD-4D0B-90C8-5B01A1705645}">
  <dimension ref="A1:AE17"/>
  <sheetViews>
    <sheetView topLeftCell="F1" zoomScale="78" workbookViewId="0">
      <selection activeCell="M35" sqref="M35"/>
    </sheetView>
  </sheetViews>
  <sheetFormatPr defaultRowHeight="14.4" x14ac:dyDescent="0.3"/>
  <cols>
    <col min="1" max="1" width="8.77734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9.6640625" bestFit="1" customWidth="1"/>
    <col min="9" max="9" width="13.44140625" customWidth="1"/>
    <col min="10" max="10" width="14" customWidth="1"/>
    <col min="14" max="14" width="14.88671875" bestFit="1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408</v>
      </c>
      <c r="E2" t="s">
        <v>46</v>
      </c>
    </row>
    <row r="3" spans="1:31" x14ac:dyDescent="0.3">
      <c r="A3" s="3" t="s">
        <v>36</v>
      </c>
      <c r="C3">
        <v>342</v>
      </c>
    </row>
    <row r="4" spans="1:31" x14ac:dyDescent="0.3">
      <c r="A4" s="3" t="s">
        <v>35</v>
      </c>
      <c r="C4">
        <v>0</v>
      </c>
      <c r="H4" t="s">
        <v>49</v>
      </c>
      <c r="N4" t="s">
        <v>24</v>
      </c>
      <c r="O4" s="3" t="s">
        <v>24</v>
      </c>
    </row>
    <row r="5" spans="1:31" s="10" customFormat="1" x14ac:dyDescent="0.3">
      <c r="B5" s="4" t="s">
        <v>0</v>
      </c>
      <c r="C5" s="2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20">
        <v>1</v>
      </c>
      <c r="D6">
        <v>6.08</v>
      </c>
      <c r="E6">
        <v>16.850000000000001</v>
      </c>
      <c r="F6">
        <v>23.21</v>
      </c>
      <c r="G6">
        <v>30.212</v>
      </c>
      <c r="H6">
        <v>34.454999999999998</v>
      </c>
      <c r="I6">
        <v>35.81</v>
      </c>
      <c r="J6">
        <v>35.049999999999997</v>
      </c>
      <c r="K6">
        <v>33.299999999999997</v>
      </c>
      <c r="L6">
        <v>31</v>
      </c>
      <c r="M6">
        <v>32</v>
      </c>
      <c r="N6">
        <v>39.243000000000002</v>
      </c>
      <c r="O6">
        <v>37.6</v>
      </c>
    </row>
    <row r="7" spans="1:31" x14ac:dyDescent="0.3">
      <c r="B7" s="6" t="s">
        <v>2</v>
      </c>
      <c r="C7" s="20">
        <v>40</v>
      </c>
      <c r="D7">
        <v>38</v>
      </c>
      <c r="E7">
        <v>28</v>
      </c>
      <c r="F7">
        <v>25</v>
      </c>
      <c r="G7">
        <v>15</v>
      </c>
      <c r="H7">
        <v>0</v>
      </c>
      <c r="I7">
        <v>-9</v>
      </c>
      <c r="J7">
        <v>-25</v>
      </c>
      <c r="K7">
        <v>-29</v>
      </c>
      <c r="L7">
        <v>-30</v>
      </c>
      <c r="M7">
        <v>-40</v>
      </c>
      <c r="N7">
        <v>-69</v>
      </c>
      <c r="O7">
        <v>-73</v>
      </c>
    </row>
    <row r="8" spans="1:31" x14ac:dyDescent="0.3">
      <c r="B8" s="7" t="s">
        <v>47</v>
      </c>
      <c r="C8" s="20">
        <v>622.08600000000001</v>
      </c>
      <c r="D8">
        <v>627.41999999999996</v>
      </c>
      <c r="E8">
        <v>628.19100000000003</v>
      </c>
      <c r="F8">
        <v>627.428</v>
      </c>
      <c r="G8">
        <v>626.65499999999997</v>
      </c>
      <c r="H8">
        <v>628.71500000000003</v>
      </c>
      <c r="I8">
        <v>628.19100000000003</v>
      </c>
      <c r="J8">
        <v>627.42600000000004</v>
      </c>
      <c r="K8">
        <v>629.71799999999996</v>
      </c>
      <c r="L8">
        <v>628.95500000000004</v>
      </c>
      <c r="M8">
        <v>627.48</v>
      </c>
      <c r="N8">
        <v>627.48</v>
      </c>
      <c r="O8">
        <v>629.71799999999996</v>
      </c>
    </row>
    <row r="9" spans="1:31" s="1" customFormat="1" x14ac:dyDescent="0.3">
      <c r="A9" s="11" t="s">
        <v>7</v>
      </c>
      <c r="B9" s="7" t="s">
        <v>34</v>
      </c>
      <c r="C9" s="19">
        <v>87</v>
      </c>
      <c r="D9" s="1">
        <v>89</v>
      </c>
      <c r="E9" s="1">
        <v>85</v>
      </c>
      <c r="F9" s="1">
        <v>88</v>
      </c>
      <c r="G9" s="1">
        <v>83</v>
      </c>
      <c r="H9" s="1">
        <v>80</v>
      </c>
      <c r="I9" s="1">
        <v>78.5</v>
      </c>
      <c r="J9" s="1">
        <v>75.5</v>
      </c>
      <c r="K9" s="1">
        <v>75</v>
      </c>
      <c r="L9" s="1">
        <v>77</v>
      </c>
      <c r="M9" s="1">
        <v>75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20">
        <v>339</v>
      </c>
      <c r="D10">
        <v>334</v>
      </c>
      <c r="E10">
        <v>346</v>
      </c>
      <c r="F10">
        <v>349</v>
      </c>
      <c r="G10">
        <v>360</v>
      </c>
      <c r="H10">
        <v>372</v>
      </c>
      <c r="I10">
        <v>378</v>
      </c>
      <c r="J10">
        <v>382</v>
      </c>
      <c r="K10">
        <v>382</v>
      </c>
      <c r="L10">
        <v>383</v>
      </c>
      <c r="M10">
        <v>387</v>
      </c>
      <c r="N10">
        <v>397</v>
      </c>
      <c r="O10">
        <v>396</v>
      </c>
    </row>
    <row r="11" spans="1:31" s="1" customFormat="1" x14ac:dyDescent="0.3">
      <c r="A11" s="11" t="s">
        <v>8</v>
      </c>
      <c r="B11" s="21" t="s">
        <v>9</v>
      </c>
      <c r="C11" s="19"/>
    </row>
    <row r="12" spans="1:31" x14ac:dyDescent="0.3">
      <c r="A12" s="12"/>
      <c r="B12" s="22" t="s">
        <v>33</v>
      </c>
      <c r="C12" s="20"/>
    </row>
    <row r="13" spans="1:31" x14ac:dyDescent="0.3">
      <c r="A13" s="12"/>
      <c r="B13" s="8" t="s">
        <v>10</v>
      </c>
      <c r="C13" s="20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20">
        <v>84</v>
      </c>
      <c r="D14">
        <v>75</v>
      </c>
      <c r="E14">
        <v>73</v>
      </c>
      <c r="F14">
        <v>65</v>
      </c>
      <c r="G14">
        <v>60</v>
      </c>
      <c r="H14">
        <v>54</v>
      </c>
      <c r="I14">
        <v>46</v>
      </c>
      <c r="J14">
        <v>41.5</v>
      </c>
      <c r="K14">
        <v>40</v>
      </c>
      <c r="L14">
        <v>35</v>
      </c>
      <c r="M14">
        <v>31</v>
      </c>
      <c r="N14">
        <v>27</v>
      </c>
      <c r="O14">
        <v>26</v>
      </c>
    </row>
    <row r="15" spans="1:31" s="2" customFormat="1" x14ac:dyDescent="0.3">
      <c r="A15" s="13"/>
      <c r="B15" s="23" t="s">
        <v>4</v>
      </c>
      <c r="C15" s="18"/>
    </row>
    <row r="16" spans="1:31" x14ac:dyDescent="0.3">
      <c r="B16" s="5" t="s">
        <v>6</v>
      </c>
      <c r="C16" s="20">
        <f>C6*SIN(RADIANS(C9))*C13/1000</f>
        <v>0.24936778112356464</v>
      </c>
      <c r="D16">
        <f t="shared" ref="D16:S16" si="0">D6*SIN(RADIANS(D9))*D13/1000</f>
        <v>1.5180055651816151</v>
      </c>
      <c r="E16">
        <f t="shared" si="0"/>
        <v>4.1916022603192538</v>
      </c>
      <c r="F16">
        <f t="shared" si="0"/>
        <v>5.7922384740607207</v>
      </c>
      <c r="G16">
        <f t="shared" si="0"/>
        <v>7.4880049100902237</v>
      </c>
      <c r="H16">
        <f t="shared" si="0"/>
        <v>8.4730476326811974</v>
      </c>
      <c r="I16">
        <f t="shared" si="0"/>
        <v>8.7625994980529605</v>
      </c>
      <c r="J16">
        <f t="shared" si="0"/>
        <v>8.4735529621225449</v>
      </c>
      <c r="K16">
        <f t="shared" si="0"/>
        <v>8.0320045581520194</v>
      </c>
      <c r="L16">
        <f t="shared" si="0"/>
        <v>7.5426084152031541</v>
      </c>
      <c r="M16">
        <f t="shared" si="0"/>
        <v>7.7184428186445837</v>
      </c>
      <c r="N16">
        <f t="shared" si="0"/>
        <v>9.4654641103771695</v>
      </c>
      <c r="O16">
        <f t="shared" si="0"/>
        <v>8.9788371589935139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  <row r="17" spans="14:15" x14ac:dyDescent="0.3">
      <c r="N17" s="3" t="s">
        <v>50</v>
      </c>
      <c r="O17" s="3" t="s">
        <v>51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735A-7F76-4974-8609-056275EBAB78}">
  <dimension ref="A1:AE21"/>
  <sheetViews>
    <sheetView zoomScale="78" workbookViewId="0">
      <selection activeCell="O29" sqref="O29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2.44140625" customWidth="1"/>
    <col min="9" max="9" width="13.44140625" customWidth="1"/>
    <col min="10" max="10" width="14" customWidth="1"/>
    <col min="12" max="12" width="12.88671875" bestFit="1" customWidth="1"/>
    <col min="14" max="14" width="14.88671875" bestFit="1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400</v>
      </c>
      <c r="E2" t="s">
        <v>46</v>
      </c>
    </row>
    <row r="3" spans="1:31" x14ac:dyDescent="0.3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">
      <c r="A4" s="3" t="s">
        <v>35</v>
      </c>
      <c r="C4">
        <v>0</v>
      </c>
      <c r="L4" t="s">
        <v>53</v>
      </c>
      <c r="M4" t="s">
        <v>54</v>
      </c>
      <c r="O4" s="3"/>
    </row>
    <row r="5" spans="1:31" s="10" customFormat="1" x14ac:dyDescent="0.3">
      <c r="B5" s="4" t="s">
        <v>0</v>
      </c>
      <c r="C5" s="2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20">
        <v>0</v>
      </c>
      <c r="D6">
        <v>10.9</v>
      </c>
      <c r="E6">
        <v>24.4</v>
      </c>
      <c r="F6">
        <v>32.9</v>
      </c>
      <c r="G6">
        <v>36.799999999999997</v>
      </c>
      <c r="H6">
        <v>38.700000000000003</v>
      </c>
      <c r="I6">
        <v>39.17</v>
      </c>
      <c r="J6">
        <v>38.93</v>
      </c>
      <c r="K6">
        <v>38.17</v>
      </c>
      <c r="L6">
        <v>41.54</v>
      </c>
      <c r="M6">
        <v>45.42</v>
      </c>
    </row>
    <row r="7" spans="1:31" x14ac:dyDescent="0.3">
      <c r="B7" s="6" t="s">
        <v>2</v>
      </c>
      <c r="C7" s="20">
        <v>41.5</v>
      </c>
      <c r="D7">
        <v>38.5</v>
      </c>
      <c r="E7">
        <v>27.7</v>
      </c>
      <c r="F7">
        <v>16.399999999999999</v>
      </c>
      <c r="G7">
        <v>8.4</v>
      </c>
      <c r="H7">
        <v>0</v>
      </c>
      <c r="I7">
        <v>-11</v>
      </c>
      <c r="J7">
        <v>-23.5</v>
      </c>
      <c r="K7">
        <v>-34.75</v>
      </c>
      <c r="L7">
        <v>-44.18</v>
      </c>
      <c r="M7">
        <v>-52.89</v>
      </c>
    </row>
    <row r="8" spans="1:31" x14ac:dyDescent="0.3">
      <c r="B8" s="4" t="s">
        <v>47</v>
      </c>
      <c r="C8" s="20">
        <v>626</v>
      </c>
      <c r="D8">
        <v>625</v>
      </c>
      <c r="E8">
        <v>624</v>
      </c>
      <c r="F8">
        <v>625</v>
      </c>
      <c r="G8">
        <v>625</v>
      </c>
      <c r="H8">
        <v>625</v>
      </c>
      <c r="I8">
        <v>622.84799999999996</v>
      </c>
      <c r="J8">
        <v>625.91</v>
      </c>
      <c r="K8">
        <v>625.90099999999995</v>
      </c>
      <c r="L8">
        <v>625.13800000000003</v>
      </c>
      <c r="M8">
        <v>623.61</v>
      </c>
    </row>
    <row r="9" spans="1:31" s="1" customFormat="1" x14ac:dyDescent="0.3">
      <c r="A9" s="11" t="s">
        <v>7</v>
      </c>
      <c r="B9" s="7" t="s">
        <v>34</v>
      </c>
      <c r="C9" s="19">
        <v>90</v>
      </c>
      <c r="D9" s="1">
        <v>5</v>
      </c>
      <c r="E9" s="1">
        <v>82</v>
      </c>
      <c r="F9" s="1">
        <v>79</v>
      </c>
      <c r="G9" s="1">
        <v>76.5</v>
      </c>
      <c r="H9" s="1">
        <v>78</v>
      </c>
      <c r="I9" s="1">
        <v>73.5</v>
      </c>
      <c r="J9" s="1">
        <v>75</v>
      </c>
      <c r="K9" s="1">
        <v>72</v>
      </c>
      <c r="L9" s="1">
        <v>72</v>
      </c>
      <c r="M9" s="1">
        <v>70.5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20">
        <v>347</v>
      </c>
      <c r="D10">
        <v>337</v>
      </c>
      <c r="E10">
        <v>351</v>
      </c>
      <c r="F10">
        <v>362</v>
      </c>
      <c r="G10">
        <v>369</v>
      </c>
      <c r="H10">
        <v>376</v>
      </c>
      <c r="I10">
        <v>383</v>
      </c>
      <c r="J10">
        <v>386</v>
      </c>
      <c r="K10">
        <v>392</v>
      </c>
      <c r="L10">
        <v>396</v>
      </c>
      <c r="M10">
        <v>394</v>
      </c>
      <c r="N10">
        <v>397</v>
      </c>
      <c r="O10">
        <v>396</v>
      </c>
    </row>
    <row r="11" spans="1:31" s="1" customFormat="1" x14ac:dyDescent="0.3">
      <c r="A11" s="11" t="s">
        <v>8</v>
      </c>
      <c r="B11" s="21" t="s">
        <v>9</v>
      </c>
      <c r="C11" s="19"/>
    </row>
    <row r="12" spans="1:31" x14ac:dyDescent="0.3">
      <c r="A12" s="12"/>
      <c r="B12" s="22" t="s">
        <v>33</v>
      </c>
      <c r="C12" s="20"/>
    </row>
    <row r="13" spans="1:31" x14ac:dyDescent="0.3">
      <c r="A13" s="12"/>
      <c r="B13" s="8" t="s">
        <v>10</v>
      </c>
      <c r="C13" s="20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20">
        <v>72</v>
      </c>
      <c r="D14">
        <v>75</v>
      </c>
      <c r="E14">
        <v>67</v>
      </c>
      <c r="F14">
        <v>60</v>
      </c>
      <c r="G14">
        <v>57</v>
      </c>
      <c r="H14">
        <v>53</v>
      </c>
      <c r="I14">
        <v>45</v>
      </c>
      <c r="J14">
        <v>37</v>
      </c>
      <c r="K14">
        <v>33</v>
      </c>
      <c r="L14">
        <v>30</v>
      </c>
      <c r="M14">
        <v>27</v>
      </c>
    </row>
    <row r="15" spans="1:31" s="2" customFormat="1" x14ac:dyDescent="0.3">
      <c r="A15" s="13"/>
      <c r="B15" s="23" t="s">
        <v>4</v>
      </c>
      <c r="C15" s="18"/>
    </row>
    <row r="16" spans="1:31" x14ac:dyDescent="0.3">
      <c r="B16" s="5" t="s">
        <v>6</v>
      </c>
      <c r="C16" s="20">
        <f>C6*SIN(RADIANS(C9))*C13/1000</f>
        <v>0</v>
      </c>
      <c r="D16">
        <f t="shared" ref="D16:S16" si="0">D6*SIN(RADIANS(D9))*D13/1000</f>
        <v>0.23722389968454316</v>
      </c>
      <c r="E16">
        <f t="shared" si="0"/>
        <v>6.0336280824691642</v>
      </c>
      <c r="F16">
        <f t="shared" si="0"/>
        <v>8.0645178788997622</v>
      </c>
      <c r="G16">
        <f t="shared" si="0"/>
        <v>8.9354261358681395</v>
      </c>
      <c r="H16">
        <f t="shared" si="0"/>
        <v>9.4526002865765353</v>
      </c>
      <c r="I16">
        <f t="shared" si="0"/>
        <v>9.3783507326824935</v>
      </c>
      <c r="J16">
        <f t="shared" si="0"/>
        <v>9.3899680915573018</v>
      </c>
      <c r="K16">
        <f t="shared" si="0"/>
        <v>9.0649292768506786</v>
      </c>
      <c r="L16">
        <f t="shared" si="0"/>
        <v>9.8652649242959694</v>
      </c>
      <c r="M16">
        <f t="shared" si="0"/>
        <v>10.691277846159318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  <row r="17" spans="2:15" x14ac:dyDescent="0.3">
      <c r="N17" s="3"/>
      <c r="O17" s="3"/>
    </row>
    <row r="21" spans="2:15" x14ac:dyDescent="0.3">
      <c r="B21" s="25" t="s">
        <v>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ACFF-8EC2-4AAF-BDC7-460D102A0BEE}">
  <dimension ref="A1:AE21"/>
  <sheetViews>
    <sheetView tabSelected="1" zoomScale="78" workbookViewId="0">
      <selection activeCell="N25" sqref="N25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2.44140625" customWidth="1"/>
    <col min="9" max="9" width="13.44140625" customWidth="1"/>
    <col min="10" max="10" width="14" customWidth="1"/>
    <col min="12" max="12" width="12.88671875" bestFit="1" customWidth="1"/>
    <col min="14" max="14" width="14.88671875" bestFit="1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400</v>
      </c>
      <c r="E2" t="s">
        <v>46</v>
      </c>
    </row>
    <row r="3" spans="1:31" x14ac:dyDescent="0.3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">
      <c r="A4" s="3" t="s">
        <v>35</v>
      </c>
      <c r="C4">
        <v>0</v>
      </c>
      <c r="L4" t="s">
        <v>53</v>
      </c>
      <c r="M4" t="s">
        <v>54</v>
      </c>
      <c r="O4" s="3"/>
    </row>
    <row r="5" spans="1:31" s="10" customFormat="1" x14ac:dyDescent="0.3">
      <c r="B5" s="4" t="s">
        <v>0</v>
      </c>
      <c r="C5" s="2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20">
        <v>0</v>
      </c>
      <c r="D6">
        <v>10.9</v>
      </c>
      <c r="E6">
        <v>24.4</v>
      </c>
      <c r="F6">
        <v>32.9</v>
      </c>
      <c r="G6">
        <v>36.799999999999997</v>
      </c>
      <c r="H6">
        <v>38.700000000000003</v>
      </c>
      <c r="I6">
        <v>39.17</v>
      </c>
      <c r="J6">
        <v>38.93</v>
      </c>
      <c r="K6">
        <v>38.17</v>
      </c>
      <c r="L6">
        <v>41.54</v>
      </c>
      <c r="M6">
        <v>45.42</v>
      </c>
    </row>
    <row r="7" spans="1:31" x14ac:dyDescent="0.3">
      <c r="B7" s="6" t="s">
        <v>2</v>
      </c>
      <c r="C7" s="20">
        <v>41.5</v>
      </c>
      <c r="D7">
        <v>38.5</v>
      </c>
      <c r="E7">
        <v>27.7</v>
      </c>
      <c r="F7">
        <v>16.399999999999999</v>
      </c>
      <c r="G7">
        <v>8.4</v>
      </c>
      <c r="H7">
        <v>0</v>
      </c>
      <c r="I7">
        <v>-11</v>
      </c>
      <c r="J7">
        <v>-23.5</v>
      </c>
      <c r="K7">
        <v>-34.75</v>
      </c>
      <c r="L7">
        <v>-44.18</v>
      </c>
      <c r="M7">
        <v>-52.89</v>
      </c>
    </row>
    <row r="8" spans="1:31" x14ac:dyDescent="0.3">
      <c r="B8" s="4" t="s">
        <v>47</v>
      </c>
      <c r="C8" s="20">
        <v>626</v>
      </c>
      <c r="D8">
        <v>625</v>
      </c>
      <c r="E8">
        <v>624</v>
      </c>
      <c r="F8">
        <v>625</v>
      </c>
      <c r="G8">
        <v>625</v>
      </c>
      <c r="H8">
        <v>625</v>
      </c>
      <c r="I8">
        <v>622.84799999999996</v>
      </c>
      <c r="J8">
        <v>625.91</v>
      </c>
      <c r="K8">
        <v>625.90099999999995</v>
      </c>
      <c r="L8">
        <v>625.13800000000003</v>
      </c>
      <c r="M8">
        <v>623.61</v>
      </c>
    </row>
    <row r="9" spans="1:31" s="1" customFormat="1" x14ac:dyDescent="0.3">
      <c r="A9" s="11" t="s">
        <v>7</v>
      </c>
      <c r="B9" s="7" t="s">
        <v>34</v>
      </c>
      <c r="C9" s="19">
        <v>90</v>
      </c>
      <c r="D9" s="1">
        <v>5</v>
      </c>
      <c r="E9" s="1">
        <v>82</v>
      </c>
      <c r="F9" s="1">
        <v>79</v>
      </c>
      <c r="G9" s="1">
        <v>76.5</v>
      </c>
      <c r="H9" s="1">
        <v>78</v>
      </c>
      <c r="I9" s="1">
        <v>73.5</v>
      </c>
      <c r="J9" s="1">
        <v>75</v>
      </c>
      <c r="K9" s="1">
        <v>72</v>
      </c>
      <c r="L9" s="1">
        <v>72</v>
      </c>
      <c r="M9" s="1">
        <v>70.5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20">
        <v>347</v>
      </c>
      <c r="D10">
        <v>337</v>
      </c>
      <c r="E10">
        <v>351</v>
      </c>
      <c r="F10">
        <v>362</v>
      </c>
      <c r="G10">
        <v>369</v>
      </c>
      <c r="H10">
        <v>376</v>
      </c>
      <c r="I10">
        <v>383</v>
      </c>
      <c r="J10">
        <v>386</v>
      </c>
      <c r="K10">
        <v>392</v>
      </c>
      <c r="L10">
        <v>396</v>
      </c>
      <c r="M10">
        <v>394</v>
      </c>
      <c r="N10">
        <v>397</v>
      </c>
      <c r="O10">
        <v>396</v>
      </c>
    </row>
    <row r="11" spans="1:31" s="1" customFormat="1" x14ac:dyDescent="0.3">
      <c r="A11" s="11" t="s">
        <v>8</v>
      </c>
      <c r="B11" s="21" t="s">
        <v>9</v>
      </c>
      <c r="C11" s="19"/>
    </row>
    <row r="12" spans="1:31" x14ac:dyDescent="0.3">
      <c r="A12" s="12"/>
      <c r="B12" s="22" t="s">
        <v>33</v>
      </c>
      <c r="C12" s="20"/>
    </row>
    <row r="13" spans="1:31" x14ac:dyDescent="0.3">
      <c r="A13" s="12"/>
      <c r="B13" s="8" t="s">
        <v>10</v>
      </c>
      <c r="C13" s="20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20">
        <v>72</v>
      </c>
      <c r="D14">
        <v>75</v>
      </c>
      <c r="E14">
        <v>67</v>
      </c>
      <c r="F14">
        <v>60</v>
      </c>
      <c r="G14">
        <v>57</v>
      </c>
      <c r="H14">
        <v>53</v>
      </c>
      <c r="I14">
        <v>45</v>
      </c>
      <c r="J14">
        <v>37</v>
      </c>
      <c r="K14">
        <v>33</v>
      </c>
      <c r="L14">
        <v>30</v>
      </c>
      <c r="M14">
        <v>27</v>
      </c>
    </row>
    <row r="15" spans="1:31" s="2" customFormat="1" x14ac:dyDescent="0.3">
      <c r="A15" s="13"/>
      <c r="B15" s="23" t="s">
        <v>4</v>
      </c>
      <c r="C15" s="18"/>
    </row>
    <row r="16" spans="1:31" x14ac:dyDescent="0.3">
      <c r="B16" s="5" t="s">
        <v>6</v>
      </c>
      <c r="C16" s="20">
        <f>C6*SIN(RADIANS(C9))*C13/1000</f>
        <v>0</v>
      </c>
      <c r="D16">
        <f t="shared" ref="D16:S16" si="0">D6*SIN(RADIANS(D9))*D13/1000</f>
        <v>0.23722389968454316</v>
      </c>
      <c r="E16">
        <f t="shared" si="0"/>
        <v>6.0336280824691642</v>
      </c>
      <c r="F16">
        <f t="shared" si="0"/>
        <v>8.0645178788997622</v>
      </c>
      <c r="G16">
        <f t="shared" si="0"/>
        <v>8.9354261358681395</v>
      </c>
      <c r="H16">
        <f t="shared" si="0"/>
        <v>9.4526002865765353</v>
      </c>
      <c r="I16">
        <f t="shared" si="0"/>
        <v>9.3783507326824935</v>
      </c>
      <c r="J16">
        <f t="shared" si="0"/>
        <v>9.3899680915573018</v>
      </c>
      <c r="K16">
        <f t="shared" si="0"/>
        <v>9.0649292768506786</v>
      </c>
      <c r="L16">
        <f t="shared" si="0"/>
        <v>9.8652649242959694</v>
      </c>
      <c r="M16">
        <f t="shared" si="0"/>
        <v>10.691277846159318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  <row r="17" spans="2:15" x14ac:dyDescent="0.3">
      <c r="N17" s="3"/>
      <c r="O17" s="3"/>
    </row>
    <row r="21" spans="2:15" x14ac:dyDescent="0.3">
      <c r="B21" s="25" t="s">
        <v>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B9E9-F1B4-4DAB-B7CA-9BCB2303132C}">
  <dimension ref="A1:AJ15"/>
  <sheetViews>
    <sheetView topLeftCell="K1" workbookViewId="0">
      <selection activeCell="C13" sqref="C13:AD13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485</v>
      </c>
      <c r="F2" t="s">
        <v>18</v>
      </c>
    </row>
    <row r="3" spans="1:36" x14ac:dyDescent="0.3">
      <c r="B3" s="3" t="s">
        <v>14</v>
      </c>
      <c r="C3">
        <f>C2-C2*0.17</f>
        <v>402.55</v>
      </c>
    </row>
    <row r="4" spans="1:36" x14ac:dyDescent="0.3">
      <c r="B4" s="3" t="s">
        <v>17</v>
      </c>
      <c r="C4">
        <v>398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B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ref="AC5:AI5" si="1">AB5+1</f>
        <v>27</v>
      </c>
      <c r="AD5" s="10">
        <f t="shared" si="1"/>
        <v>28</v>
      </c>
      <c r="AE5" s="10">
        <f t="shared" si="1"/>
        <v>29</v>
      </c>
      <c r="AF5" s="10">
        <f t="shared" si="1"/>
        <v>30</v>
      </c>
      <c r="AG5" s="10">
        <f t="shared" si="1"/>
        <v>31</v>
      </c>
      <c r="AH5" s="10">
        <f t="shared" si="1"/>
        <v>32</v>
      </c>
      <c r="AI5" s="10">
        <f t="shared" si="1"/>
        <v>33</v>
      </c>
    </row>
    <row r="6" spans="1:36" x14ac:dyDescent="0.3">
      <c r="B6" s="5" t="s">
        <v>1</v>
      </c>
      <c r="C6">
        <v>51.203000000000003</v>
      </c>
      <c r="D6">
        <v>48.398000000000003</v>
      </c>
      <c r="E6">
        <v>46.283999999999999</v>
      </c>
      <c r="F6">
        <v>49.966000000000001</v>
      </c>
      <c r="G6">
        <v>46.258000000000003</v>
      </c>
      <c r="H6">
        <v>42.865000000000002</v>
      </c>
      <c r="I6">
        <v>28.888999999999999</v>
      </c>
      <c r="J6">
        <v>24.26</v>
      </c>
      <c r="K6">
        <v>18.155999999999999</v>
      </c>
      <c r="L6">
        <v>10.234</v>
      </c>
      <c r="M6">
        <v>4.266</v>
      </c>
      <c r="N6">
        <v>0.39300000000000002</v>
      </c>
      <c r="O6">
        <v>5.4537000000000004</v>
      </c>
      <c r="P6">
        <v>11.362</v>
      </c>
      <c r="Q6">
        <v>17.478000000000002</v>
      </c>
      <c r="R6">
        <v>24.577000000000002</v>
      </c>
      <c r="S6">
        <v>31.812999999999999</v>
      </c>
      <c r="T6">
        <v>37.369</v>
      </c>
      <c r="U6">
        <v>42.365000000000002</v>
      </c>
      <c r="V6">
        <v>47.408000000000001</v>
      </c>
      <c r="W6">
        <v>50.768000000000001</v>
      </c>
      <c r="X6">
        <v>53.197000000000003</v>
      </c>
      <c r="Y6">
        <v>52.39</v>
      </c>
      <c r="Z6">
        <v>52.238999999999997</v>
      </c>
      <c r="AA6">
        <v>50.945</v>
      </c>
      <c r="AB6">
        <v>46.247</v>
      </c>
      <c r="AC6">
        <v>39.781999999999996</v>
      </c>
      <c r="AD6">
        <v>30.405999999999999</v>
      </c>
    </row>
    <row r="7" spans="1:36" x14ac:dyDescent="0.3">
      <c r="B7" s="6" t="s">
        <v>2</v>
      </c>
      <c r="C7">
        <v>-5.5</v>
      </c>
      <c r="D7">
        <v>-10.5</v>
      </c>
      <c r="E7">
        <v>-25.5</v>
      </c>
      <c r="F7">
        <v>-4.5</v>
      </c>
      <c r="G7">
        <v>-14.5</v>
      </c>
      <c r="H7">
        <v>-20</v>
      </c>
      <c r="I7">
        <v>-33</v>
      </c>
      <c r="J7">
        <v>-39.5</v>
      </c>
      <c r="K7">
        <v>-43</v>
      </c>
      <c r="L7">
        <v>-50</v>
      </c>
      <c r="M7">
        <v>-62.5</v>
      </c>
      <c r="N7">
        <v>-60</v>
      </c>
      <c r="O7">
        <v>-55</v>
      </c>
      <c r="P7">
        <v>-53.5</v>
      </c>
      <c r="Q7">
        <v>-46</v>
      </c>
      <c r="R7">
        <v>-40</v>
      </c>
      <c r="S7">
        <v>-36.5</v>
      </c>
      <c r="T7">
        <v>-33.5</v>
      </c>
      <c r="U7">
        <v>-29.5</v>
      </c>
      <c r="V7">
        <v>-24.5</v>
      </c>
      <c r="W7">
        <v>-17.5</v>
      </c>
      <c r="X7">
        <v>-14.5</v>
      </c>
      <c r="Y7">
        <v>-5.5</v>
      </c>
      <c r="Z7">
        <v>-3</v>
      </c>
      <c r="AA7">
        <v>-0.5</v>
      </c>
      <c r="AB7">
        <v>3.5</v>
      </c>
      <c r="AC7">
        <v>11.5</v>
      </c>
      <c r="AD7">
        <v>19.5</v>
      </c>
    </row>
    <row r="8" spans="1:36" s="1" customFormat="1" x14ac:dyDescent="0.3">
      <c r="A8" s="11" t="s">
        <v>7</v>
      </c>
      <c r="B8" s="7" t="s">
        <v>12</v>
      </c>
      <c r="C8" s="1">
        <v>87</v>
      </c>
      <c r="D8" s="1">
        <v>82.5</v>
      </c>
      <c r="E8" s="1">
        <v>94.5</v>
      </c>
      <c r="F8" s="1">
        <v>115.1</v>
      </c>
      <c r="G8" s="1">
        <v>114.6</v>
      </c>
      <c r="H8" s="1">
        <v>117.3</v>
      </c>
      <c r="I8" s="1">
        <v>115.4</v>
      </c>
      <c r="J8" s="1">
        <v>116.8</v>
      </c>
      <c r="K8" s="1">
        <v>114.9</v>
      </c>
      <c r="L8" s="1">
        <v>113</v>
      </c>
      <c r="M8" s="1">
        <v>108.9</v>
      </c>
      <c r="N8" s="1">
        <v>110.8</v>
      </c>
      <c r="O8" s="1">
        <v>112.3</v>
      </c>
      <c r="P8" s="1">
        <v>110.5</v>
      </c>
      <c r="Q8" s="1">
        <v>112</v>
      </c>
      <c r="R8" s="1">
        <v>111.3</v>
      </c>
      <c r="S8" s="1">
        <v>115.7</v>
      </c>
      <c r="T8" s="1">
        <v>116.6</v>
      </c>
      <c r="U8" s="1">
        <v>115.4</v>
      </c>
      <c r="V8" s="1">
        <v>113.5</v>
      </c>
      <c r="W8" s="1">
        <v>118.9</v>
      </c>
      <c r="X8" s="1">
        <v>115.5</v>
      </c>
      <c r="Y8" s="1">
        <v>116.5</v>
      </c>
      <c r="Z8" s="1">
        <v>117.7</v>
      </c>
      <c r="AA8" s="1">
        <v>117.4</v>
      </c>
      <c r="AB8" s="1">
        <v>119</v>
      </c>
      <c r="AC8" s="1">
        <v>115.1</v>
      </c>
      <c r="AD8" s="1">
        <v>118.5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461.5</v>
      </c>
      <c r="D10">
        <v>456</v>
      </c>
      <c r="E10">
        <v>450.5</v>
      </c>
      <c r="F10">
        <v>460.5</v>
      </c>
      <c r="G10">
        <v>452</v>
      </c>
      <c r="H10">
        <v>449</v>
      </c>
      <c r="I10">
        <v>432</v>
      </c>
      <c r="J10">
        <v>428</v>
      </c>
      <c r="K10">
        <v>423</v>
      </c>
      <c r="L10">
        <v>415</v>
      </c>
      <c r="M10">
        <v>409.5</v>
      </c>
      <c r="N10">
        <v>406</v>
      </c>
      <c r="O10">
        <v>410</v>
      </c>
      <c r="P10">
        <v>414.5</v>
      </c>
      <c r="Q10">
        <v>420.5</v>
      </c>
      <c r="R10">
        <v>426</v>
      </c>
      <c r="S10">
        <v>430</v>
      </c>
      <c r="T10">
        <v>433.5</v>
      </c>
      <c r="U10" s="2">
        <v>441</v>
      </c>
      <c r="V10" s="2">
        <v>445</v>
      </c>
      <c r="W10" s="2">
        <v>451</v>
      </c>
      <c r="X10" s="2">
        <v>454</v>
      </c>
      <c r="Y10" s="2">
        <v>455.5</v>
      </c>
      <c r="Z10" s="2">
        <v>458.5</v>
      </c>
      <c r="AA10" s="2">
        <v>462</v>
      </c>
      <c r="AB10" s="2">
        <v>461.5</v>
      </c>
      <c r="AC10" s="2">
        <v>465</v>
      </c>
      <c r="AD10" s="2">
        <v>467</v>
      </c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265</v>
      </c>
      <c r="D12">
        <v>265</v>
      </c>
      <c r="E12">
        <v>265</v>
      </c>
      <c r="F12">
        <v>300</v>
      </c>
      <c r="G12">
        <v>300</v>
      </c>
      <c r="H12">
        <v>300</v>
      </c>
      <c r="I12">
        <v>300</v>
      </c>
      <c r="J12">
        <v>300</v>
      </c>
      <c r="K12">
        <v>300</v>
      </c>
      <c r="L12">
        <v>300</v>
      </c>
      <c r="M12">
        <v>300</v>
      </c>
      <c r="N12">
        <v>300</v>
      </c>
      <c r="O12">
        <v>300</v>
      </c>
      <c r="P12">
        <v>300</v>
      </c>
      <c r="Q12">
        <v>300</v>
      </c>
      <c r="R12">
        <v>300</v>
      </c>
      <c r="S12">
        <v>300</v>
      </c>
      <c r="T12">
        <v>310</v>
      </c>
      <c r="U12">
        <v>310</v>
      </c>
      <c r="V12">
        <v>310</v>
      </c>
      <c r="W12">
        <v>310</v>
      </c>
      <c r="X12">
        <v>310</v>
      </c>
      <c r="Y12">
        <v>310</v>
      </c>
      <c r="Z12">
        <v>310</v>
      </c>
      <c r="AA12">
        <v>310</v>
      </c>
      <c r="AB12">
        <v>310</v>
      </c>
      <c r="AC12">
        <v>310</v>
      </c>
      <c r="AD12">
        <v>310</v>
      </c>
    </row>
    <row r="13" spans="1:36" x14ac:dyDescent="0.3">
      <c r="A13" s="12"/>
      <c r="B13" s="8" t="s">
        <v>11</v>
      </c>
      <c r="C13">
        <v>62</v>
      </c>
      <c r="D13">
        <v>74</v>
      </c>
      <c r="E13">
        <v>76</v>
      </c>
      <c r="F13">
        <v>64</v>
      </c>
      <c r="G13">
        <v>72</v>
      </c>
      <c r="H13">
        <v>76</v>
      </c>
      <c r="I13">
        <v>79.5</v>
      </c>
      <c r="J13">
        <v>81.5</v>
      </c>
      <c r="K13">
        <v>77</v>
      </c>
      <c r="L13">
        <v>81</v>
      </c>
      <c r="M13">
        <v>74</v>
      </c>
      <c r="N13">
        <v>68</v>
      </c>
      <c r="O13">
        <v>74</v>
      </c>
      <c r="P13">
        <v>77</v>
      </c>
      <c r="Q13">
        <v>75</v>
      </c>
      <c r="R13">
        <v>79</v>
      </c>
      <c r="S13">
        <v>80</v>
      </c>
      <c r="T13">
        <v>78</v>
      </c>
      <c r="U13">
        <v>79</v>
      </c>
      <c r="V13">
        <v>77</v>
      </c>
      <c r="W13">
        <v>75.5</v>
      </c>
      <c r="X13">
        <v>72</v>
      </c>
      <c r="Y13">
        <v>61.5</v>
      </c>
      <c r="Z13">
        <v>62.5</v>
      </c>
      <c r="AA13">
        <v>54.5</v>
      </c>
      <c r="AB13">
        <v>48</v>
      </c>
      <c r="AC13">
        <v>38.5</v>
      </c>
      <c r="AD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 t="shared" ref="C15:AI15" si="2">C6*-SIN(RADIANS(C8))*C12/1000</f>
        <v>-13.550199438030189</v>
      </c>
      <c r="D15">
        <f t="shared" si="2"/>
        <v>-12.715746326203965</v>
      </c>
      <c r="E15">
        <f t="shared" si="2"/>
        <v>-12.227450296743585</v>
      </c>
      <c r="F15">
        <f t="shared" si="2"/>
        <v>-13.574295183417183</v>
      </c>
      <c r="G15">
        <f t="shared" si="2"/>
        <v>-12.617833179689791</v>
      </c>
      <c r="H15">
        <f t="shared" si="2"/>
        <v>-11.427173303326315</v>
      </c>
      <c r="I15">
        <f t="shared" si="2"/>
        <v>-7.8289359826583684</v>
      </c>
      <c r="J15">
        <f t="shared" si="2"/>
        <v>-6.4962395866945686</v>
      </c>
      <c r="K15">
        <f t="shared" si="2"/>
        <v>-4.9404873370427511</v>
      </c>
      <c r="L15">
        <f t="shared" si="2"/>
        <v>-2.8261340010696823</v>
      </c>
      <c r="M15">
        <f t="shared" si="2"/>
        <v>-1.2108000422274927</v>
      </c>
      <c r="N15">
        <f t="shared" si="2"/>
        <v>-0.11021594724709009</v>
      </c>
      <c r="O15">
        <f t="shared" si="2"/>
        <v>-1.5137448723481624</v>
      </c>
      <c r="P15">
        <f t="shared" si="2"/>
        <v>-3.1927408242720881</v>
      </c>
      <c r="Q15">
        <f t="shared" si="2"/>
        <v>-4.8615958230354943</v>
      </c>
      <c r="R15">
        <f t="shared" si="2"/>
        <v>-6.8694525901110115</v>
      </c>
      <c r="S15">
        <f t="shared" si="2"/>
        <v>-8.5997889837959107</v>
      </c>
      <c r="T15">
        <f t="shared" si="2"/>
        <v>-10.35823139969961</v>
      </c>
      <c r="U15">
        <f t="shared" si="2"/>
        <v>-11.863637901467659</v>
      </c>
      <c r="V15">
        <f t="shared" si="2"/>
        <v>-13.477555041999489</v>
      </c>
      <c r="W15">
        <f t="shared" si="2"/>
        <v>-13.77813076308844</v>
      </c>
      <c r="X15">
        <f t="shared" si="2"/>
        <v>-14.884597105183458</v>
      </c>
      <c r="Y15">
        <f t="shared" si="2"/>
        <v>-14.534539473342328</v>
      </c>
      <c r="Z15">
        <f t="shared" si="2"/>
        <v>-14.338144060893327</v>
      </c>
      <c r="AA15">
        <f t="shared" si="2"/>
        <v>-14.021223986689929</v>
      </c>
      <c r="AB15">
        <f t="shared" si="2"/>
        <v>-12.539046654783448</v>
      </c>
      <c r="AC15">
        <f t="shared" si="2"/>
        <v>-11.167854768300959</v>
      </c>
      <c r="AD15">
        <f t="shared" si="2"/>
        <v>-8.2836070695559112</v>
      </c>
      <c r="AE15">
        <f t="shared" si="2"/>
        <v>0</v>
      </c>
      <c r="AF15">
        <f t="shared" si="2"/>
        <v>0</v>
      </c>
      <c r="AG15">
        <f t="shared" si="2"/>
        <v>0</v>
      </c>
      <c r="AH15">
        <f t="shared" si="2"/>
        <v>0</v>
      </c>
      <c r="AI15">
        <f t="shared" si="2"/>
        <v>0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1644-2BFB-4EA7-BEAA-4598893697AD}">
  <dimension ref="A1:AJ29"/>
  <sheetViews>
    <sheetView topLeftCell="E1" workbookViewId="0">
      <selection activeCell="E22" sqref="E22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485</v>
      </c>
      <c r="F2" t="s">
        <v>21</v>
      </c>
    </row>
    <row r="3" spans="1:36" x14ac:dyDescent="0.3">
      <c r="B3" s="3" t="s">
        <v>14</v>
      </c>
      <c r="C3">
        <f>C2-C2*0.17</f>
        <v>402.55</v>
      </c>
      <c r="F3" t="s">
        <v>41</v>
      </c>
    </row>
    <row r="4" spans="1:36" x14ac:dyDescent="0.3">
      <c r="B4" s="3" t="s">
        <v>17</v>
      </c>
      <c r="C4">
        <v>398</v>
      </c>
      <c r="L4" t="s">
        <v>16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43.774000000000001</v>
      </c>
      <c r="D6">
        <v>43.682000000000002</v>
      </c>
      <c r="E6">
        <v>45.475000000000001</v>
      </c>
      <c r="F6">
        <v>41.618000000000002</v>
      </c>
      <c r="G6">
        <v>34.204000000000001</v>
      </c>
      <c r="H6">
        <v>27.984999999999999</v>
      </c>
      <c r="I6">
        <v>18.039000000000001</v>
      </c>
      <c r="J6">
        <v>6.0835999999999997</v>
      </c>
      <c r="K6">
        <v>2.9384000000000001</v>
      </c>
      <c r="L6">
        <v>1.2999999999999999E-2</v>
      </c>
      <c r="M6">
        <v>7.3449999999999998</v>
      </c>
      <c r="N6">
        <v>15.176</v>
      </c>
      <c r="O6">
        <v>23.530999999999999</v>
      </c>
      <c r="P6">
        <v>29.727</v>
      </c>
      <c r="Q6">
        <v>38.637999999999998</v>
      </c>
      <c r="R6">
        <v>46.064999999999998</v>
      </c>
      <c r="S6">
        <v>50.881999999999998</v>
      </c>
      <c r="T6">
        <v>53.805999999999997</v>
      </c>
      <c r="U6">
        <v>53.527999999999999</v>
      </c>
      <c r="V6">
        <v>48.012999999999998</v>
      </c>
    </row>
    <row r="7" spans="1:36" x14ac:dyDescent="0.3">
      <c r="B7" s="6" t="s">
        <v>2</v>
      </c>
      <c r="C7">
        <v>6</v>
      </c>
      <c r="D7">
        <v>5.5</v>
      </c>
      <c r="E7">
        <v>-1</v>
      </c>
      <c r="F7">
        <v>-15</v>
      </c>
      <c r="G7">
        <v>-26.6</v>
      </c>
      <c r="H7">
        <v>-35</v>
      </c>
      <c r="I7">
        <v>-42.5</v>
      </c>
      <c r="J7">
        <v>-56</v>
      </c>
      <c r="K7">
        <v>-56</v>
      </c>
      <c r="L7">
        <v>-63</v>
      </c>
      <c r="M7">
        <v>-64</v>
      </c>
      <c r="N7">
        <v>-55</v>
      </c>
      <c r="O7">
        <v>-48</v>
      </c>
      <c r="P7">
        <v>-42</v>
      </c>
      <c r="Q7">
        <v>-35</v>
      </c>
      <c r="R7">
        <v>-26</v>
      </c>
      <c r="S7">
        <v>-19</v>
      </c>
      <c r="T7">
        <v>-11</v>
      </c>
      <c r="U7">
        <v>0.5</v>
      </c>
      <c r="V7">
        <v>11.5</v>
      </c>
    </row>
    <row r="8" spans="1:36" s="1" customFormat="1" x14ac:dyDescent="0.3">
      <c r="A8" s="11" t="s">
        <v>7</v>
      </c>
      <c r="B8" s="7" t="s">
        <v>12</v>
      </c>
      <c r="C8" s="1">
        <v>92.7</v>
      </c>
      <c r="D8" s="1">
        <v>91</v>
      </c>
      <c r="E8" s="1">
        <v>94.5</v>
      </c>
      <c r="F8" s="1">
        <v>93</v>
      </c>
      <c r="G8" s="1">
        <v>95.6</v>
      </c>
      <c r="H8" s="1">
        <v>94.1</v>
      </c>
      <c r="I8" s="1">
        <v>91.9</v>
      </c>
      <c r="J8" s="1">
        <v>91.7</v>
      </c>
      <c r="K8" s="1">
        <v>92.2</v>
      </c>
      <c r="L8" s="1">
        <v>91.1</v>
      </c>
      <c r="M8" s="1">
        <v>90</v>
      </c>
      <c r="N8" s="1">
        <v>92.1</v>
      </c>
      <c r="O8" s="1">
        <v>92.1</v>
      </c>
      <c r="P8" s="1">
        <v>92.6</v>
      </c>
      <c r="Q8" s="1">
        <v>93.7</v>
      </c>
      <c r="R8" s="1">
        <v>93.8</v>
      </c>
      <c r="S8" s="1">
        <v>95.4</v>
      </c>
      <c r="T8" s="1">
        <v>96.9</v>
      </c>
      <c r="U8" s="1">
        <v>94.5</v>
      </c>
      <c r="V8" s="1">
        <v>95.1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467</v>
      </c>
      <c r="D10">
        <v>466</v>
      </c>
      <c r="E10">
        <v>463</v>
      </c>
      <c r="F10">
        <v>450</v>
      </c>
      <c r="G10">
        <v>443</v>
      </c>
      <c r="H10">
        <v>431</v>
      </c>
      <c r="I10">
        <v>423</v>
      </c>
      <c r="J10">
        <v>411</v>
      </c>
      <c r="K10">
        <v>408</v>
      </c>
      <c r="L10">
        <v>404</v>
      </c>
      <c r="M10">
        <v>407</v>
      </c>
      <c r="N10">
        <v>413</v>
      </c>
      <c r="O10">
        <v>420</v>
      </c>
      <c r="P10">
        <v>422</v>
      </c>
      <c r="Q10">
        <v>433</v>
      </c>
      <c r="R10">
        <v>442</v>
      </c>
      <c r="S10">
        <v>448</v>
      </c>
      <c r="T10">
        <v>455</v>
      </c>
      <c r="U10" s="2">
        <v>460</v>
      </c>
      <c r="V10" s="2">
        <v>466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">
      <c r="A13" s="12"/>
      <c r="B13" s="8" t="s">
        <v>11</v>
      </c>
      <c r="C13">
        <v>45</v>
      </c>
      <c r="D13">
        <v>50</v>
      </c>
      <c r="E13">
        <v>55</v>
      </c>
      <c r="F13">
        <v>65</v>
      </c>
      <c r="G13">
        <v>70</v>
      </c>
      <c r="H13">
        <v>74</v>
      </c>
      <c r="I13">
        <v>73</v>
      </c>
      <c r="J13">
        <v>72</v>
      </c>
      <c r="K13">
        <v>65</v>
      </c>
      <c r="L13">
        <v>63</v>
      </c>
      <c r="M13">
        <v>66</v>
      </c>
      <c r="N13">
        <v>71</v>
      </c>
      <c r="O13">
        <v>75</v>
      </c>
      <c r="P13">
        <v>75</v>
      </c>
      <c r="Q13">
        <v>76</v>
      </c>
      <c r="R13">
        <v>75</v>
      </c>
      <c r="S13">
        <v>69</v>
      </c>
      <c r="T13">
        <v>65</v>
      </c>
      <c r="U13">
        <v>56</v>
      </c>
      <c r="V13">
        <v>44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C6*-SIN(RADIANS(C8))*C12/1000</f>
        <v>-12.024486481310953</v>
      </c>
      <c r="D15">
        <f t="shared" ref="D15:AI15" si="1">D6*-SIN(RADIANS(D8))*D12/1000</f>
        <v>-12.010720430450908</v>
      </c>
      <c r="E15">
        <f t="shared" si="1"/>
        <v>-12.467074331666348</v>
      </c>
      <c r="F15">
        <f t="shared" si="1"/>
        <v>-11.429265093789359</v>
      </c>
      <c r="G15">
        <f t="shared" si="1"/>
        <v>-9.361208446969103</v>
      </c>
      <c r="H15">
        <f t="shared" si="1"/>
        <v>-7.6761795853386783</v>
      </c>
      <c r="I15">
        <f t="shared" si="1"/>
        <v>-4.9579976724776733</v>
      </c>
      <c r="J15">
        <f t="shared" si="1"/>
        <v>-1.6722536503811283</v>
      </c>
      <c r="K15">
        <f t="shared" si="1"/>
        <v>-0.80746439223476663</v>
      </c>
      <c r="L15">
        <f t="shared" si="1"/>
        <v>-3.5743411708348779E-3</v>
      </c>
      <c r="M15">
        <f t="shared" si="1"/>
        <v>-2.0198749999999999</v>
      </c>
      <c r="N15">
        <f t="shared" si="1"/>
        <v>-4.1705971185958441</v>
      </c>
      <c r="O15">
        <f t="shared" si="1"/>
        <v>-6.4666790193515293</v>
      </c>
      <c r="P15">
        <f t="shared" si="1"/>
        <v>-8.1665094852463582</v>
      </c>
      <c r="Q15">
        <f t="shared" si="1"/>
        <v>-10.603302506170124</v>
      </c>
      <c r="R15">
        <f t="shared" si="1"/>
        <v>-12.640024275140153</v>
      </c>
      <c r="S15">
        <f t="shared" si="1"/>
        <v>-13.930450567806828</v>
      </c>
      <c r="T15">
        <f t="shared" si="1"/>
        <v>-14.689482923460329</v>
      </c>
      <c r="U15">
        <f t="shared" si="1"/>
        <v>-14.674822536018389</v>
      </c>
      <c r="V15">
        <f t="shared" si="1"/>
        <v>-13.151302910231001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">
      <c r="L16" t="s">
        <v>19</v>
      </c>
    </row>
    <row r="29" spans="18:18" x14ac:dyDescent="0.3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D160-17A5-469E-8CF6-067E3CB95279}">
  <dimension ref="A1:AJ29"/>
  <sheetViews>
    <sheetView workbookViewId="0">
      <selection activeCell="B22" sqref="B22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457</v>
      </c>
      <c r="F2" t="s">
        <v>18</v>
      </c>
    </row>
    <row r="3" spans="1:36" x14ac:dyDescent="0.3">
      <c r="B3" s="3" t="s">
        <v>14</v>
      </c>
      <c r="C3">
        <f>C2-C2*0.17</f>
        <v>379.31</v>
      </c>
    </row>
    <row r="4" spans="1:36" x14ac:dyDescent="0.3">
      <c r="B4" s="3" t="s">
        <v>17</v>
      </c>
      <c r="C4">
        <v>384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67.698999999999998</v>
      </c>
      <c r="D6">
        <v>53.807000000000002</v>
      </c>
      <c r="E6">
        <v>40.158999999999999</v>
      </c>
      <c r="F6">
        <v>29.155000000000001</v>
      </c>
      <c r="G6">
        <v>19.347000000000001</v>
      </c>
      <c r="H6">
        <v>18.911000000000001</v>
      </c>
      <c r="I6">
        <v>10.577</v>
      </c>
      <c r="J6">
        <v>6.6810999999999998</v>
      </c>
      <c r="K6">
        <v>3.8237000000000001</v>
      </c>
      <c r="L6">
        <v>2.0994000000000002</v>
      </c>
    </row>
    <row r="7" spans="1:36" x14ac:dyDescent="0.3">
      <c r="B7" s="6" t="s">
        <v>2</v>
      </c>
      <c r="C7">
        <v>-41</v>
      </c>
      <c r="D7">
        <v>-45</v>
      </c>
      <c r="E7">
        <v>-57</v>
      </c>
      <c r="F7">
        <v>-63</v>
      </c>
      <c r="G7">
        <v>-77</v>
      </c>
      <c r="H7">
        <v>-75</v>
      </c>
      <c r="I7">
        <v>-80</v>
      </c>
      <c r="J7">
        <v>-90</v>
      </c>
      <c r="K7">
        <v>-95</v>
      </c>
      <c r="L7">
        <v>-105</v>
      </c>
    </row>
    <row r="8" spans="1:36" s="1" customFormat="1" x14ac:dyDescent="0.3">
      <c r="A8" s="11" t="s">
        <v>7</v>
      </c>
      <c r="B8" s="7" t="s">
        <v>12</v>
      </c>
      <c r="C8" s="1">
        <v>71.2</v>
      </c>
      <c r="D8" s="1">
        <v>75.3</v>
      </c>
      <c r="E8" s="1">
        <v>72.7</v>
      </c>
      <c r="F8" s="1">
        <v>74.2</v>
      </c>
      <c r="G8" s="1">
        <v>81.599999999999994</v>
      </c>
      <c r="H8" s="1">
        <v>76.099999999999994</v>
      </c>
      <c r="I8" s="1">
        <v>76.900000000000006</v>
      </c>
      <c r="J8" s="1">
        <v>79.599999999999994</v>
      </c>
      <c r="K8" s="1">
        <v>78</v>
      </c>
      <c r="L8" s="1">
        <v>76.599999999999994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428</v>
      </c>
      <c r="D10">
        <v>418</v>
      </c>
      <c r="E10">
        <v>409.5</v>
      </c>
      <c r="F10">
        <v>405.5</v>
      </c>
      <c r="G10">
        <v>395</v>
      </c>
      <c r="H10">
        <v>396</v>
      </c>
      <c r="I10">
        <v>390</v>
      </c>
      <c r="J10">
        <v>384</v>
      </c>
      <c r="K10">
        <v>381</v>
      </c>
      <c r="L10">
        <v>376</v>
      </c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">
      <c r="A13" s="12"/>
      <c r="B13" s="8" t="s">
        <v>11</v>
      </c>
      <c r="C13">
        <v>80</v>
      </c>
      <c r="D13">
        <v>81</v>
      </c>
      <c r="E13">
        <v>78</v>
      </c>
      <c r="F13">
        <v>76</v>
      </c>
      <c r="G13">
        <v>62</v>
      </c>
      <c r="H13">
        <v>62.5</v>
      </c>
      <c r="I13">
        <v>60</v>
      </c>
      <c r="J13">
        <v>48</v>
      </c>
      <c r="K13">
        <v>34</v>
      </c>
      <c r="L13">
        <v>26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C6*-SIN(RADIANS(C8))*C12/1000</f>
        <v>-17.623982271657447</v>
      </c>
      <c r="D15">
        <f t="shared" ref="D15:AI15" si="1">D6*-SIN(RADIANS(D8))*D12/1000</f>
        <v>-14.312588392743191</v>
      </c>
      <c r="E15">
        <f t="shared" si="1"/>
        <v>-10.544115710489031</v>
      </c>
      <c r="F15">
        <f t="shared" si="1"/>
        <v>-7.714703040370237</v>
      </c>
      <c r="G15">
        <f t="shared" si="1"/>
        <v>-5.2633492521046072</v>
      </c>
      <c r="H15">
        <f t="shared" si="1"/>
        <v>-5.0482353303594207</v>
      </c>
      <c r="I15">
        <f t="shared" si="1"/>
        <v>-2.8329795466253955</v>
      </c>
      <c r="J15">
        <f t="shared" si="1"/>
        <v>-1.807118322254111</v>
      </c>
      <c r="K15">
        <f t="shared" si="1"/>
        <v>-1.0285393197546095</v>
      </c>
      <c r="L15">
        <f t="shared" si="1"/>
        <v>-0.56161756164602195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8" spans="10:18" x14ac:dyDescent="0.3">
      <c r="J18">
        <f>1-348/457</f>
        <v>0.23851203501094087</v>
      </c>
    </row>
    <row r="29" spans="10:18" x14ac:dyDescent="0.3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ExtTest10mm_1</vt:lpstr>
      <vt:lpstr>ExtTest10mm_2</vt:lpstr>
      <vt:lpstr>ExtTest10mm_3</vt:lpstr>
      <vt:lpstr>ExtTest10mm_4</vt:lpstr>
      <vt:lpstr>ExtTest10mm_5</vt:lpstr>
      <vt:lpstr>ExtTest10mm_6</vt:lpstr>
      <vt:lpstr>ExtTest10mm_7</vt:lpstr>
      <vt:lpstr>ExtTest10mm_8</vt:lpstr>
      <vt:lpstr>ExtTest10mm_9</vt:lpstr>
      <vt:lpstr>ExtTest10mm_10</vt:lpstr>
      <vt:lpstr>FlxTest10mm_1</vt:lpstr>
      <vt:lpstr>FlxTest10mm_2</vt:lpstr>
      <vt:lpstr>FlxTest10mm_3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2021-05-24T00:23:13Z</dcterms:created>
  <dcterms:modified xsi:type="dcterms:W3CDTF">2026-07-18T06:52:49Z</dcterms:modified>
</cp:coreProperties>
</file>