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n\Documents\GitHub\Bipedal_Robot\Testing_Data\2026_06_Festo\"/>
    </mc:Choice>
  </mc:AlternateContent>
  <xr:revisionPtr revIDLastSave="0" documentId="13_ncr:1_{937CD3E5-0030-4EFA-8F1F-7C180A0E7975}" xr6:coauthVersionLast="47" xr6:coauthVersionMax="47" xr10:uidLastSave="{00000000-0000-0000-0000-000000000000}"/>
  <bookViews>
    <workbookView xWindow="11910" yWindow="-16320" windowWidth="29040" windowHeight="15720" xr2:uid="{ED23B71C-6DC7-4F03-A302-FE33CB0246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" i="1" l="1"/>
  <c r="D25" i="1"/>
  <c r="D24" i="1"/>
  <c r="N25" i="1"/>
  <c r="B7" i="1"/>
  <c r="B8" i="1"/>
  <c r="B9" i="1"/>
  <c r="B10" i="1"/>
  <c r="B11" i="1"/>
  <c r="B12" i="1"/>
  <c r="B13" i="1"/>
  <c r="B14" i="1"/>
  <c r="B15" i="1"/>
  <c r="B16" i="1"/>
  <c r="B17" i="1"/>
  <c r="B18" i="1"/>
  <c r="B3" i="1"/>
  <c r="B4" i="1"/>
  <c r="B5" i="1"/>
  <c r="B6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tc={46343613-9834-4FD4-9F19-3AD9135CE7DD}</author>
  </authors>
  <commentList>
    <comment ref="B1" authorId="0" shapeId="0" xr:uid="{46343613-9834-4FD4-9F19-3AD9135CE7DD}">
      <text>
        <t>[Threaded comment]
Your version of Excel allows you to read this threaded comment; however, any edits to it will get removed if the file is opened in a newer version of Excel. Learn more: https://go.microsoft.com/fwlink/?linkid=870924
Comment:
    Inferred, not measured</t>
      </text>
    </comment>
  </commentList>
</comments>
</file>

<file path=xl/sharedStrings.xml><?xml version="1.0" encoding="utf-8"?>
<sst xmlns="http://schemas.openxmlformats.org/spreadsheetml/2006/main" count="15" uniqueCount="9">
  <si>
    <t>Voltage (V)</t>
  </si>
  <si>
    <t>Pressure (kPA)</t>
  </si>
  <si>
    <t>voltage</t>
  </si>
  <si>
    <t>pressure</t>
  </si>
  <si>
    <t>Sample</t>
  </si>
  <si>
    <t>Serial</t>
  </si>
  <si>
    <t>Predicted</t>
  </si>
  <si>
    <t>Actual</t>
  </si>
  <si>
    <t>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</si>
</sst>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P(voltage)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952559055118108"/>
                  <c:y val="1.0081815782528371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Sheet1!$B$2:$B$18</c:f>
              <c:numCache>
                <c:formatCode>General</c:formatCode>
                <c:ptCount val="17"/>
                <c:pt idx="0">
                  <c:v>0.19550342130987292</c:v>
                </c:pt>
                <c:pt idx="1">
                  <c:v>4.6480938416422291</c:v>
                </c:pt>
                <c:pt idx="2">
                  <c:v>1.3538611925708699</c:v>
                </c:pt>
                <c:pt idx="3">
                  <c:v>1.4711632453567938</c:v>
                </c:pt>
                <c:pt idx="4">
                  <c:v>1.9696969696969697</c:v>
                </c:pt>
                <c:pt idx="5">
                  <c:v>2.6246334310850439</c:v>
                </c:pt>
                <c:pt idx="6">
                  <c:v>3.2942326490713589</c:v>
                </c:pt>
                <c:pt idx="7">
                  <c:v>3.6999022482893449</c:v>
                </c:pt>
                <c:pt idx="8">
                  <c:v>3.9687194525904204</c:v>
                </c:pt>
                <c:pt idx="9">
                  <c:v>4.139784946236559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xVal>
          <c:yVal>
            <c:numRef>
              <c:f>Sheet1!$C$2:$C$18</c:f>
              <c:numCache>
                <c:formatCode>General</c:formatCode>
                <c:ptCount val="17"/>
                <c:pt idx="0">
                  <c:v>0</c:v>
                </c:pt>
                <c:pt idx="1">
                  <c:v>700</c:v>
                </c:pt>
                <c:pt idx="2">
                  <c:v>200</c:v>
                </c:pt>
                <c:pt idx="3">
                  <c:v>220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560</c:v>
                </c:pt>
                <c:pt idx="8">
                  <c:v>600</c:v>
                </c:pt>
                <c:pt idx="9">
                  <c:v>620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17-495F-B7B1-F3E15EB6D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837440"/>
        <c:axId val="447838272"/>
      </c:scatterChart>
      <c:valAx>
        <c:axId val="44783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838272"/>
        <c:crosses val="autoZero"/>
        <c:crossBetween val="midCat"/>
      </c:valAx>
      <c:valAx>
        <c:axId val="4478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837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P(serial)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2537160979877516"/>
                  <c:y val="9.9869281045751636E-3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Sheet1!$A$2:$A$17</c:f>
              <c:numCache>
                <c:formatCode>General</c:formatCode>
                <c:ptCount val="16"/>
                <c:pt idx="0">
                  <c:v>40</c:v>
                </c:pt>
                <c:pt idx="1">
                  <c:v>951</c:v>
                </c:pt>
                <c:pt idx="2">
                  <c:v>277</c:v>
                </c:pt>
                <c:pt idx="3">
                  <c:v>301</c:v>
                </c:pt>
                <c:pt idx="4">
                  <c:v>403</c:v>
                </c:pt>
                <c:pt idx="5">
                  <c:v>537</c:v>
                </c:pt>
                <c:pt idx="6">
                  <c:v>674</c:v>
                </c:pt>
                <c:pt idx="7">
                  <c:v>757</c:v>
                </c:pt>
                <c:pt idx="8">
                  <c:v>812</c:v>
                </c:pt>
                <c:pt idx="9">
                  <c:v>847</c:v>
                </c:pt>
              </c:numCache>
            </c:numRef>
          </c:xVal>
          <c:yVal>
            <c:numRef>
              <c:f>Sheet1!$C$2:$C$17</c:f>
              <c:numCache>
                <c:formatCode>General</c:formatCode>
                <c:ptCount val="16"/>
                <c:pt idx="0">
                  <c:v>0</c:v>
                </c:pt>
                <c:pt idx="1">
                  <c:v>700</c:v>
                </c:pt>
                <c:pt idx="2">
                  <c:v>200</c:v>
                </c:pt>
                <c:pt idx="3">
                  <c:v>220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  <c:pt idx="7">
                  <c:v>560</c:v>
                </c:pt>
                <c:pt idx="8">
                  <c:v>600</c:v>
                </c:pt>
                <c:pt idx="9">
                  <c:v>620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960-491D-B1EE-BEE672B66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5476303"/>
        <c:axId val="265404607"/>
      </c:scatterChart>
      <c:valAx>
        <c:axId val="265476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404607"/>
        <c:crosses val="autoZero"/>
        <c:crossBetween val="midCat"/>
      </c:valAx>
      <c:valAx>
        <c:axId val="26540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5476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177165</xdr:colOff>
      <xdr:row>6</xdr:row>
      <xdr:rowOff>93345</xdr:rowOff>
    </xdr:from>
    <xdr:to>
      <xdr:col>19</xdr:col>
      <xdr:colOff>481965</xdr:colOff>
      <xdr:row>19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4B0D6C-7B9F-4280-B252-F6F1142FA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541020</xdr:colOff>
      <xdr:row>6</xdr:row>
      <xdr:rowOff>6667</xdr:rowOff>
    </xdr:from>
    <xdr:to>
      <xdr:col>11</xdr:col>
      <xdr:colOff>236220</xdr:colOff>
      <xdr:row>19</xdr:row>
      <xdr:rowOff>82867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41F6CD-C328-4AD2-960D-010AE46A87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54D18D7C-9DDF-439C-BA6E-9E4E4285BAD9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7-18T06:15:09.88" personId="{54D18D7C-9DDF-439C-BA6E-9E4E4285BAD9}" id="{46343613-9834-4FD4-9F19-3AD9135CE7DD}">
    <text>Inferred, not measured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EB23B-8D5C-452B-917B-439C5A6B7860}">
  <dimension ref="A1:O25"/>
  <sheetViews>
    <sheetView tabSelected="1" workbookViewId="0">
      <selection activeCell="L28" sqref="L28"/>
    </sheetView>
  </sheetViews>
  <sheetFormatPr defaultRowHeight="14.4" x14ac:dyDescent="0.3"/>
  <cols>
    <col min="2" max="2" width="14.33203125" customWidth="1"/>
    <col min="3" max="3" width="14.109375" customWidth="1"/>
  </cols>
  <sheetData>
    <row r="1" spans="1:3" s="1" customFormat="1" x14ac:dyDescent="0.3">
      <c r="A1" s="1" t="s">
        <v>5</v>
      </c>
      <c r="B1" s="1" t="s">
        <v>0</v>
      </c>
      <c r="C1" s="1" t="s">
        <v>1</v>
      </c>
    </row>
    <row r="2" spans="1:3" x14ac:dyDescent="0.3">
      <c r="A2">
        <v>40</v>
      </c>
      <c r="B2">
        <f>A2*5/1023</f>
        <v>0.19550342130987292</v>
      </c>
      <c r="C2">
        <v>0</v>
      </c>
    </row>
    <row r="3" spans="1:3" x14ac:dyDescent="0.3">
      <c r="A3">
        <v>951</v>
      </c>
      <c r="B3">
        <f t="shared" ref="B3:B18" si="0">A3*5/1023</f>
        <v>4.6480938416422291</v>
      </c>
      <c r="C3">
        <v>700</v>
      </c>
    </row>
    <row r="4" spans="1:3" x14ac:dyDescent="0.3">
      <c r="A4">
        <v>277</v>
      </c>
      <c r="B4">
        <f t="shared" si="0"/>
        <v>1.3538611925708699</v>
      </c>
      <c r="C4">
        <v>200</v>
      </c>
    </row>
    <row r="5" spans="1:3" x14ac:dyDescent="0.3">
      <c r="A5">
        <v>301</v>
      </c>
      <c r="B5">
        <f t="shared" si="0"/>
        <v>1.4711632453567938</v>
      </c>
      <c r="C5">
        <v>220</v>
      </c>
    </row>
    <row r="6" spans="1:3" x14ac:dyDescent="0.3">
      <c r="A6">
        <v>403</v>
      </c>
      <c r="B6">
        <f t="shared" si="0"/>
        <v>1.9696969696969697</v>
      </c>
      <c r="C6">
        <v>300</v>
      </c>
    </row>
    <row r="7" spans="1:3" x14ac:dyDescent="0.3">
      <c r="A7">
        <v>537</v>
      </c>
      <c r="B7">
        <f t="shared" si="0"/>
        <v>2.6246334310850439</v>
      </c>
      <c r="C7">
        <v>400</v>
      </c>
    </row>
    <row r="8" spans="1:3" x14ac:dyDescent="0.3">
      <c r="A8">
        <v>674</v>
      </c>
      <c r="B8">
        <f t="shared" si="0"/>
        <v>3.2942326490713589</v>
      </c>
      <c r="C8">
        <v>500</v>
      </c>
    </row>
    <row r="9" spans="1:3" x14ac:dyDescent="0.3">
      <c r="A9">
        <v>757</v>
      </c>
      <c r="B9">
        <f t="shared" si="0"/>
        <v>3.6999022482893449</v>
      </c>
      <c r="C9">
        <v>560</v>
      </c>
    </row>
    <row r="10" spans="1:3" x14ac:dyDescent="0.3">
      <c r="A10">
        <v>812</v>
      </c>
      <c r="B10">
        <f t="shared" si="0"/>
        <v>3.9687194525904204</v>
      </c>
      <c r="C10">
        <v>600</v>
      </c>
    </row>
    <row r="11" spans="1:3" x14ac:dyDescent="0.3">
      <c r="A11">
        <v>847</v>
      </c>
      <c r="B11">
        <f t="shared" si="0"/>
        <v>4.139784946236559</v>
      </c>
      <c r="C11">
        <v>620</v>
      </c>
    </row>
    <row r="12" spans="1:3" x14ac:dyDescent="0.3">
      <c r="B12">
        <f t="shared" si="0"/>
        <v>0</v>
      </c>
    </row>
    <row r="13" spans="1:3" x14ac:dyDescent="0.3">
      <c r="B13">
        <f t="shared" si="0"/>
        <v>0</v>
      </c>
    </row>
    <row r="14" spans="1:3" x14ac:dyDescent="0.3">
      <c r="B14">
        <f t="shared" si="0"/>
        <v>0</v>
      </c>
    </row>
    <row r="15" spans="1:3" x14ac:dyDescent="0.3">
      <c r="B15">
        <f t="shared" si="0"/>
        <v>0</v>
      </c>
    </row>
    <row r="16" spans="1:3" x14ac:dyDescent="0.3">
      <c r="B16">
        <f t="shared" si="0"/>
        <v>0</v>
      </c>
    </row>
    <row r="17" spans="2:15" x14ac:dyDescent="0.3">
      <c r="B17">
        <f t="shared" si="0"/>
        <v>0</v>
      </c>
    </row>
    <row r="18" spans="2:15" x14ac:dyDescent="0.3">
      <c r="B18">
        <f t="shared" si="0"/>
        <v>0</v>
      </c>
    </row>
    <row r="22" spans="2:15" x14ac:dyDescent="0.3">
      <c r="C22" s="1" t="s">
        <v>4</v>
      </c>
      <c r="D22" s="1" t="s">
        <v>6</v>
      </c>
      <c r="E22" s="1" t="s">
        <v>7</v>
      </c>
      <c r="M22" s="1" t="s">
        <v>4</v>
      </c>
      <c r="N22" s="1" t="s">
        <v>6</v>
      </c>
      <c r="O22" s="1" t="s">
        <v>7</v>
      </c>
    </row>
    <row r="23" spans="2:15" x14ac:dyDescent="0.3">
      <c r="C23" s="1" t="s">
        <v>8</v>
      </c>
      <c r="D23" s="1" t="s">
        <v>3</v>
      </c>
      <c r="E23" s="1" t="s">
        <v>3</v>
      </c>
      <c r="M23" s="1" t="s">
        <v>2</v>
      </c>
      <c r="N23" s="1" t="s">
        <v>3</v>
      </c>
      <c r="O23" s="1" t="s">
        <v>3</v>
      </c>
    </row>
    <row r="24" spans="2:15" x14ac:dyDescent="0.3">
      <c r="C24">
        <v>839</v>
      </c>
      <c r="D24">
        <f>C24*0.7572-13.995</f>
        <v>621.29579999999999</v>
      </c>
      <c r="E24">
        <v>620</v>
      </c>
      <c r="M24">
        <v>0.19</v>
      </c>
      <c r="N24">
        <f>M24*154.92-13.955</f>
        <v>15.479799999999999</v>
      </c>
    </row>
    <row r="25" spans="2:15" x14ac:dyDescent="0.3">
      <c r="D25">
        <f t="shared" ref="D25:D28" si="1">C25*0.7572-13.995</f>
        <v>-13.994999999999999</v>
      </c>
      <c r="M25">
        <v>2</v>
      </c>
      <c r="N25">
        <f t="shared" ref="N25:N27" si="2">M25*155.61-14.908</f>
        <v>296.31200000000001</v>
      </c>
    </row>
  </sheetData>
  <pageMargins left="0.7" right="0.7" top="0.75" bottom="0.75" header="0.3" footer="0.3"/>
  <pageSetup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2022-01-31T01:24:29Z</dcterms:created>
  <dcterms:modified xsi:type="dcterms:W3CDTF">2026-07-18T06:47:19Z</dcterms:modified>
</cp:coreProperties>
</file>