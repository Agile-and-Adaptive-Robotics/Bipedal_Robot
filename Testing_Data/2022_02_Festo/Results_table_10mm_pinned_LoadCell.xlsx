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ze\Documents\GitHub\Bipedal_Robot\Testing_Data\2022_02_Festo\"/>
    </mc:Choice>
  </mc:AlternateContent>
  <xr:revisionPtr revIDLastSave="0" documentId="13_ncr:1_{F2E2FFD0-D404-48A4-A8F9-EE1C8493D8EC}" xr6:coauthVersionLast="47" xr6:coauthVersionMax="47" xr10:uidLastSave="{00000000-0000-0000-0000-000000000000}"/>
  <bookViews>
    <workbookView xWindow="4515" yWindow="-16320" windowWidth="29040" windowHeight="15720" firstSheet="3" activeTab="6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FlxTest10mm_1" sheetId="7" r:id="rId8"/>
    <sheet name="FlxTest10mm_2" sheetId="8" r:id="rId9"/>
    <sheet name="FlxTest10mm_3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6" l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AE16" i="16"/>
  <c r="AD16" i="16"/>
  <c r="AC16" i="16"/>
  <c r="AB16" i="16"/>
  <c r="AA16" i="16"/>
  <c r="C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sharedStrings.xml><?xml version="1.0" encoding="utf-8"?>
<sst xmlns="http://schemas.openxmlformats.org/spreadsheetml/2006/main" count="205" uniqueCount="50">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</sst>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9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0" fillId="0" borderId="0" xfId="0" applyFill="1" applyBorder="1"/>
    <xf numFmtId="0" fontId="2" fillId="2" borderId="12" xfId="1" applyBorder="1"/>
    <xf numFmtId="0" fontId="2" fillId="2" borderId="0" xfId="1"/>
    <xf numFmtId="0" fontId="2" fillId="2" borderId="8" xfId="1" applyBorder="1"/>
    <xf numFmtId="0" fontId="2" fillId="2" borderId="10" xfId="1" applyBorder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4.6268503604248918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0.3956477431127321</c:v>
                </c:pt>
                <c:pt idx="2">
                  <c:v>6.4896197758391105</c:v>
                </c:pt>
                <c:pt idx="3">
                  <c:v>6.6935893235908681</c:v>
                </c:pt>
                <c:pt idx="4">
                  <c:v>5.3064294378181511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workbookViewId="0">
      <selection activeCell="C6" sqref="C6:K6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486</v>
      </c>
      <c r="F2" t="s">
        <v>18</v>
      </c>
    </row>
    <row r="3" spans="1:36" x14ac:dyDescent="0.35">
      <c r="B3" s="3" t="s">
        <v>14</v>
      </c>
      <c r="C3">
        <f>C2-C2*0.17</f>
        <v>403.38</v>
      </c>
    </row>
    <row r="4" spans="1:36" x14ac:dyDescent="0.35">
      <c r="B4" s="3" t="s">
        <v>17</v>
      </c>
      <c r="C4">
        <v>405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17.55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5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5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5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4.6268503604248918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5">
      <c r="C17" t="s">
        <v>20</v>
      </c>
    </row>
    <row r="18" spans="3:24" x14ac:dyDescent="0.35">
      <c r="C18">
        <f>C6+4.6262</f>
        <v>22.176200000000001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5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5">
      <c r="C20" t="s">
        <v>45</v>
      </c>
    </row>
    <row r="21" spans="3:24" x14ac:dyDescent="0.35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5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5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5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5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workbookViewId="0">
      <selection activeCell="D4" sqref="D4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457</v>
      </c>
      <c r="F2" t="s">
        <v>22</v>
      </c>
    </row>
    <row r="3" spans="1:36" x14ac:dyDescent="0.35">
      <c r="B3" s="3" t="s">
        <v>14</v>
      </c>
      <c r="C3">
        <f>C2-C2*0.17</f>
        <v>379.31</v>
      </c>
    </row>
    <row r="4" spans="1:36" x14ac:dyDescent="0.35">
      <c r="B4" s="3" t="s">
        <v>17</v>
      </c>
      <c r="C4">
        <v>380</v>
      </c>
      <c r="D4">
        <f>1-C4/C2</f>
        <v>0.16849015317286653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5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5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D4" sqref="D4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486</v>
      </c>
      <c r="F2" t="s">
        <v>21</v>
      </c>
    </row>
    <row r="3" spans="1:36" x14ac:dyDescent="0.35">
      <c r="B3" s="3" t="s">
        <v>14</v>
      </c>
      <c r="C3">
        <f>C2-C2*0.17</f>
        <v>403.38</v>
      </c>
    </row>
    <row r="4" spans="1:36" x14ac:dyDescent="0.35">
      <c r="B4" s="3" t="s">
        <v>17</v>
      </c>
      <c r="C4">
        <v>405</v>
      </c>
      <c r="D4">
        <f>1-398/486</f>
        <v>0.18106995884773658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5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5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AC18" sqref="AC18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415</v>
      </c>
      <c r="F2" t="s">
        <v>18</v>
      </c>
    </row>
    <row r="3" spans="1:36" x14ac:dyDescent="0.35">
      <c r="B3" s="3" t="s">
        <v>14</v>
      </c>
      <c r="C3">
        <f>C2-C2*0.17</f>
        <v>344.45</v>
      </c>
      <c r="F3" t="s">
        <v>28</v>
      </c>
    </row>
    <row r="4" spans="1:36" x14ac:dyDescent="0.35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5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5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5">
      <c r="U16" t="s">
        <v>23</v>
      </c>
      <c r="AB16" t="s">
        <v>25</v>
      </c>
    </row>
    <row r="17" spans="17:29" x14ac:dyDescent="0.35">
      <c r="AB17">
        <v>2.2241</v>
      </c>
    </row>
    <row r="18" spans="17:29" x14ac:dyDescent="0.35">
      <c r="AC18" t="s">
        <v>27</v>
      </c>
    </row>
    <row r="24" spans="17:29" x14ac:dyDescent="0.35">
      <c r="Q24" t="s">
        <v>44</v>
      </c>
    </row>
    <row r="25" spans="17:29" x14ac:dyDescent="0.35">
      <c r="Q25" t="s">
        <v>42</v>
      </c>
      <c r="R25">
        <v>630</v>
      </c>
      <c r="S25">
        <v>-1.4999999999999999E-2</v>
      </c>
    </row>
    <row r="26" spans="17:29" x14ac:dyDescent="0.35">
      <c r="Q26" t="s">
        <v>43</v>
      </c>
      <c r="R26">
        <v>-1.4999999999999999E-2</v>
      </c>
      <c r="S26">
        <v>0</v>
      </c>
    </row>
    <row r="27" spans="17:29" x14ac:dyDescent="0.35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N10" sqref="N10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17" x14ac:dyDescent="0.35">
      <c r="A1" s="3" t="s">
        <v>38</v>
      </c>
    </row>
    <row r="2" spans="1:17" x14ac:dyDescent="0.35">
      <c r="A2" s="3" t="s">
        <v>5</v>
      </c>
      <c r="C2">
        <v>415</v>
      </c>
      <c r="E2" t="s">
        <v>37</v>
      </c>
    </row>
    <row r="3" spans="1:17" x14ac:dyDescent="0.35">
      <c r="A3" s="3" t="s">
        <v>36</v>
      </c>
      <c r="C3">
        <v>350</v>
      </c>
    </row>
    <row r="4" spans="1:17" x14ac:dyDescent="0.35">
      <c r="A4" s="3" t="s">
        <v>35</v>
      </c>
      <c r="C4" t="s">
        <v>40</v>
      </c>
      <c r="L4" t="s">
        <v>16</v>
      </c>
    </row>
    <row r="5" spans="1:17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5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5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5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5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5">
      <c r="A10" s="11" t="s">
        <v>8</v>
      </c>
      <c r="B10" s="7" t="s">
        <v>9</v>
      </c>
    </row>
    <row r="11" spans="1:17" x14ac:dyDescent="0.35">
      <c r="A11" s="12"/>
      <c r="B11" s="8" t="s">
        <v>33</v>
      </c>
    </row>
    <row r="12" spans="1:17" x14ac:dyDescent="0.35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5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5">
      <c r="A14" s="13"/>
      <c r="B14" s="9" t="s">
        <v>4</v>
      </c>
    </row>
    <row r="15" spans="1:17" x14ac:dyDescent="0.35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5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1" x14ac:dyDescent="0.35">
      <c r="A1" s="3" t="s">
        <v>38</v>
      </c>
    </row>
    <row r="2" spans="1:31" x14ac:dyDescent="0.35">
      <c r="A2" s="3" t="s">
        <v>5</v>
      </c>
      <c r="C2">
        <v>415</v>
      </c>
      <c r="E2" t="s">
        <v>37</v>
      </c>
    </row>
    <row r="3" spans="1:31" x14ac:dyDescent="0.35">
      <c r="A3" s="3" t="s">
        <v>36</v>
      </c>
      <c r="C3">
        <v>350</v>
      </c>
    </row>
    <row r="4" spans="1:31" x14ac:dyDescent="0.35">
      <c r="A4" s="3" t="s">
        <v>35</v>
      </c>
      <c r="C4" t="s">
        <v>40</v>
      </c>
    </row>
    <row r="5" spans="1:31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5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5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5">
      <c r="A9" s="12"/>
      <c r="B9" s="8" t="s">
        <v>3</v>
      </c>
      <c r="C9">
        <v>340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5">
      <c r="A10" s="11" t="s">
        <v>8</v>
      </c>
      <c r="B10" s="7" t="s">
        <v>9</v>
      </c>
    </row>
    <row r="11" spans="1:31" x14ac:dyDescent="0.35">
      <c r="A11" s="12"/>
      <c r="B11" s="8" t="s">
        <v>33</v>
      </c>
    </row>
    <row r="12" spans="1:31" x14ac:dyDescent="0.35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5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5">
      <c r="A14" s="13"/>
      <c r="B14" s="9" t="s">
        <v>4</v>
      </c>
    </row>
    <row r="15" spans="1:31" x14ac:dyDescent="0.35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6"/>
  <sheetViews>
    <sheetView tabSelected="1" zoomScale="106" workbookViewId="0">
      <selection activeCell="E24" sqref="E24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9.6328125" bestFit="1" customWidth="1"/>
    <col min="9" max="9" width="13.453125" customWidth="1"/>
    <col min="10" max="10" width="14" customWidth="1"/>
  </cols>
  <sheetData>
    <row r="1" spans="1:31" x14ac:dyDescent="0.35">
      <c r="A1" s="3" t="s">
        <v>38</v>
      </c>
    </row>
    <row r="2" spans="1:31" x14ac:dyDescent="0.35">
      <c r="A2" s="3" t="s">
        <v>5</v>
      </c>
      <c r="C2">
        <v>403</v>
      </c>
      <c r="E2" t="s">
        <v>46</v>
      </c>
    </row>
    <row r="3" spans="1:31" x14ac:dyDescent="0.35">
      <c r="A3" s="3" t="s">
        <v>36</v>
      </c>
      <c r="C3">
        <v>345</v>
      </c>
    </row>
    <row r="4" spans="1:31" x14ac:dyDescent="0.35">
      <c r="A4" s="3" t="s">
        <v>35</v>
      </c>
      <c r="C4">
        <v>0</v>
      </c>
      <c r="H4" t="s">
        <v>49</v>
      </c>
    </row>
    <row r="5" spans="1:31" s="10" customFormat="1" x14ac:dyDescent="0.35">
      <c r="B5" s="4" t="s">
        <v>0</v>
      </c>
      <c r="C5" s="15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5">
      <c r="B7" s="6" t="s">
        <v>2</v>
      </c>
      <c r="C7" s="16">
        <v>1.5</v>
      </c>
      <c r="D7">
        <v>28</v>
      </c>
      <c r="E7">
        <v>-32</v>
      </c>
      <c r="F7">
        <v>-14</v>
      </c>
      <c r="G7">
        <v>4</v>
      </c>
    </row>
    <row r="8" spans="1:31" x14ac:dyDescent="0.35">
      <c r="B8" s="7" t="s">
        <v>47</v>
      </c>
      <c r="C8" s="16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5">
      <c r="A9" s="11" t="s">
        <v>7</v>
      </c>
      <c r="B9" s="7" t="s">
        <v>34</v>
      </c>
      <c r="C9" s="17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5">
      <c r="A10" s="12"/>
      <c r="B10" s="8" t="s">
        <v>3</v>
      </c>
      <c r="C10" s="16">
        <v>340</v>
      </c>
      <c r="D10" s="14">
        <v>334</v>
      </c>
      <c r="E10" s="14">
        <f>260+120</f>
        <v>380</v>
      </c>
      <c r="F10" s="14">
        <v>373</v>
      </c>
      <c r="G10" s="14">
        <v>357</v>
      </c>
    </row>
    <row r="11" spans="1:31" s="1" customFormat="1" x14ac:dyDescent="0.35">
      <c r="A11" s="11" t="s">
        <v>8</v>
      </c>
      <c r="B11" s="7" t="s">
        <v>9</v>
      </c>
      <c r="C11" s="17"/>
    </row>
    <row r="12" spans="1:31" x14ac:dyDescent="0.35">
      <c r="A12" s="12"/>
      <c r="B12" s="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/>
      <c r="D14">
        <v>70</v>
      </c>
      <c r="E14">
        <v>32.5</v>
      </c>
      <c r="F14">
        <v>41</v>
      </c>
      <c r="G14">
        <v>57</v>
      </c>
    </row>
    <row r="15" spans="1:31" s="2" customFormat="1" x14ac:dyDescent="0.35">
      <c r="A15" s="13"/>
      <c r="B15" s="9" t="s">
        <v>4</v>
      </c>
      <c r="C15" s="18"/>
    </row>
    <row r="16" spans="1:31" x14ac:dyDescent="0.35">
      <c r="B16" s="5" t="s">
        <v>6</v>
      </c>
      <c r="C16" s="16">
        <f>C6*SIN(RADIANS(C9))*C13/1000</f>
        <v>0.55424608033235112</v>
      </c>
      <c r="D16">
        <f t="shared" ref="D16:S16" si="0">D6*SIN(RADIANS(D9))*D13/1000</f>
        <v>0.3956477431127321</v>
      </c>
      <c r="E16">
        <f t="shared" si="0"/>
        <v>6.4896197758391105</v>
      </c>
      <c r="F16">
        <f t="shared" si="0"/>
        <v>6.6935893235908681</v>
      </c>
      <c r="G16">
        <f t="shared" si="0"/>
        <v>5.3064294378181511</v>
      </c>
      <c r="H16" t="e">
        <f t="shared" si="0"/>
        <v>#VALUE!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  <c r="AA16">
        <f t="shared" ref="AA16:AE16" si="1">AA6*SIN(RADIANS(AA9))*AA13/1000</f>
        <v>0</v>
      </c>
      <c r="AB16">
        <f t="shared" si="1"/>
        <v>0</v>
      </c>
      <c r="AC16">
        <f t="shared" si="1"/>
        <v>0</v>
      </c>
      <c r="AD16">
        <f t="shared" si="1"/>
        <v>0</v>
      </c>
      <c r="AE16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workbookViewId="0">
      <selection activeCell="C13" sqref="C13:AD13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485</v>
      </c>
      <c r="F2" t="s">
        <v>18</v>
      </c>
    </row>
    <row r="3" spans="1:36" x14ac:dyDescent="0.35">
      <c r="B3" s="3" t="s">
        <v>14</v>
      </c>
      <c r="C3">
        <f>C2-C2*0.17</f>
        <v>402.55</v>
      </c>
    </row>
    <row r="4" spans="1:36" x14ac:dyDescent="0.35">
      <c r="B4" s="3" t="s">
        <v>17</v>
      </c>
      <c r="C4">
        <v>398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5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5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5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5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E22" sqref="E2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485</v>
      </c>
      <c r="F2" t="s">
        <v>21</v>
      </c>
    </row>
    <row r="3" spans="1:36" x14ac:dyDescent="0.35">
      <c r="B3" s="3" t="s">
        <v>14</v>
      </c>
      <c r="C3">
        <f>C2-C2*0.17</f>
        <v>402.55</v>
      </c>
      <c r="F3" t="s">
        <v>41</v>
      </c>
    </row>
    <row r="4" spans="1:36" x14ac:dyDescent="0.35">
      <c r="B4" s="3" t="s">
        <v>17</v>
      </c>
      <c r="C4">
        <v>398</v>
      </c>
      <c r="L4" t="s">
        <v>16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5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5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5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5">
      <c r="L16" t="s">
        <v>19</v>
      </c>
    </row>
    <row r="29" spans="18:18" x14ac:dyDescent="0.35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B22" sqref="B2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457</v>
      </c>
      <c r="F2" t="s">
        <v>18</v>
      </c>
    </row>
    <row r="3" spans="1:36" x14ac:dyDescent="0.35">
      <c r="B3" s="3" t="s">
        <v>14</v>
      </c>
      <c r="C3">
        <f>C2-C2*0.17</f>
        <v>379.31</v>
      </c>
    </row>
    <row r="4" spans="1:36" x14ac:dyDescent="0.35">
      <c r="B4" s="3" t="s">
        <v>17</v>
      </c>
      <c r="C4">
        <v>384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5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5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5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5">
      <c r="J18">
        <f>1-348/457</f>
        <v>0.23851203501094087</v>
      </c>
    </row>
    <row r="29" spans="10:18" x14ac:dyDescent="0.35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FlxTest10mm_1</vt:lpstr>
      <vt:lpstr>FlxTest10mm_2</vt:lpstr>
      <vt:lpstr>FlxTest10mm_3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Mohammad Elzein</cp:lastModifiedBy>
  <dcterms:created xsi:type="dcterms:W3CDTF">2021-05-24T00:23:13Z</dcterms:created>
  <dcterms:modified xsi:type="dcterms:W3CDTF">2026-07-12T07:46:00Z</dcterms:modified>
</cp:coreProperties>
</file>