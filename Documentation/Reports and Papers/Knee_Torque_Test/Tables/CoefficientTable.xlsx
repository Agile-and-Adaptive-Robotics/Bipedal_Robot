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hub\Bipedal_Robot\Documentation\Reports and Papers\Knee_Torque_Test\Tables\"/>
    </mc:Choice>
  </mc:AlternateContent>
  <xr:revisionPtr revIDLastSave="0" documentId="13_ncr:1_{B141018B-DEF6-4AD6-84B6-E18E64201F5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Gof_FlxExt" sheetId="5" r:id="rId1"/>
    <sheet name="Optimized values" sheetId="6" r:id="rId2"/>
    <sheet name="FlxPin" sheetId="7" r:id="rId3"/>
    <sheet name="FlxBio" sheetId="8" r:id="rId4"/>
    <sheet name="ExtPin" sheetId="10" r:id="rId5"/>
    <sheet name="ExtBio" sheetId="12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8" l="1"/>
  <c r="T5" i="7"/>
  <c r="W11" i="10"/>
  <c r="W8" i="10"/>
  <c r="W5" i="10"/>
  <c r="O6" i="12"/>
  <c r="N6" i="12"/>
  <c r="L6" i="12"/>
  <c r="M6" i="12" s="1"/>
  <c r="O5" i="12"/>
  <c r="N5" i="12"/>
  <c r="L5" i="12"/>
  <c r="M5" i="12" s="1"/>
  <c r="O4" i="12"/>
  <c r="Q5" i="12" s="1"/>
  <c r="N4" i="12"/>
  <c r="L4" i="12"/>
  <c r="M4" i="12" s="1"/>
  <c r="U10" i="10"/>
  <c r="U11" i="10"/>
  <c r="U12" i="10"/>
  <c r="T10" i="10"/>
  <c r="T11" i="10"/>
  <c r="T12" i="10"/>
  <c r="S10" i="10"/>
  <c r="S11" i="10"/>
  <c r="S12" i="10"/>
  <c r="R10" i="10"/>
  <c r="R11" i="10"/>
  <c r="R12" i="10"/>
  <c r="U9" i="10"/>
  <c r="T9" i="10"/>
  <c r="R9" i="10"/>
  <c r="S9" i="10" s="1"/>
  <c r="U8" i="10"/>
  <c r="T8" i="10"/>
  <c r="R8" i="10"/>
  <c r="S8" i="10" s="1"/>
  <c r="U7" i="10"/>
  <c r="T7" i="10"/>
  <c r="R7" i="10"/>
  <c r="S7" i="10" s="1"/>
  <c r="U6" i="10"/>
  <c r="T6" i="10"/>
  <c r="R6" i="10"/>
  <c r="S6" i="10" s="1"/>
  <c r="U5" i="10"/>
  <c r="T5" i="10"/>
  <c r="R5" i="10"/>
  <c r="S5" i="10" s="1"/>
  <c r="U4" i="10"/>
  <c r="T4" i="10"/>
  <c r="R4" i="10"/>
  <c r="S4" i="10" s="1"/>
  <c r="S8" i="8"/>
  <c r="R8" i="8"/>
  <c r="P8" i="8"/>
  <c r="Q8" i="8" s="1"/>
  <c r="S7" i="8"/>
  <c r="R7" i="8"/>
  <c r="P7" i="8"/>
  <c r="Q7" i="8" s="1"/>
  <c r="S6" i="8"/>
  <c r="U7" i="8" s="1"/>
  <c r="R6" i="8"/>
  <c r="P6" i="8"/>
  <c r="Q6" i="8" s="1"/>
  <c r="S5" i="8"/>
  <c r="R5" i="8"/>
  <c r="P5" i="8"/>
  <c r="Q5" i="8" s="1"/>
  <c r="S4" i="8"/>
  <c r="R4" i="8"/>
  <c r="P4" i="8"/>
  <c r="Q4" i="8" s="1"/>
  <c r="S3" i="8"/>
  <c r="R3" i="8"/>
  <c r="P3" i="8"/>
  <c r="Q3" i="8" s="1"/>
  <c r="R5" i="7"/>
  <c r="R6" i="7"/>
  <c r="R7" i="7"/>
  <c r="T8" i="7" s="1"/>
  <c r="R8" i="7"/>
  <c r="R9" i="7"/>
  <c r="R4" i="7"/>
  <c r="Q5" i="7"/>
  <c r="Q6" i="7"/>
  <c r="Q7" i="7"/>
  <c r="Q8" i="7"/>
  <c r="Q9" i="7"/>
  <c r="Q4" i="7"/>
  <c r="O5" i="7"/>
  <c r="P5" i="7" s="1"/>
  <c r="O6" i="7"/>
  <c r="P6" i="7" s="1"/>
  <c r="O7" i="7"/>
  <c r="P7" i="7" s="1"/>
  <c r="O8" i="7"/>
  <c r="P8" i="7" s="1"/>
  <c r="O9" i="7"/>
  <c r="P9" i="7" s="1"/>
  <c r="O4" i="7"/>
  <c r="P4" i="7" s="1"/>
</calcChain>
</file>

<file path=xl/sharedStrings.xml><?xml version="1.0" encoding="utf-8"?>
<sst xmlns="http://schemas.openxmlformats.org/spreadsheetml/2006/main" count="132" uniqueCount="30">
  <si>
    <t>RMSE</t>
  </si>
  <si>
    <t>Flexor</t>
  </si>
  <si>
    <t>Pinned knee</t>
  </si>
  <si>
    <t>Biomimetic knee</t>
  </si>
  <si>
    <t>Configuration</t>
  </si>
  <si>
    <t>\phi</t>
  </si>
  <si>
    <t>BPA l_{rest}, cm</t>
  </si>
  <si>
    <t>FVU</t>
  </si>
  <si>
    <t>Max. Residual, N\cdotm</t>
  </si>
  <si>
    <t>RMSE, N\cdotm</t>
  </si>
  <si>
    <t>Pre-optimization</t>
  </si>
  <si>
    <t>Optimized</t>
  </si>
  <si>
    <t>Extensor</t>
  </si>
  <si>
    <t>X0</t>
  </si>
  <si>
    <t>X1</t>
  </si>
  <si>
    <t>X2</t>
  </si>
  <si>
    <t>X3</t>
  </si>
  <si>
    <t>N/A</t>
  </si>
  <si>
    <t>Pre-Optimized</t>
  </si>
  <si>
    <t>Max. Residual</t>
  </si>
  <si>
    <t>$\phi$\qty{10}{\mm}</t>
  </si>
  <si>
    <t>$\phi$\qty{20}{\mm}</t>
  </si>
  <si>
    <t>$l_0=\qty{48.0}{\cm}$</t>
  </si>
  <si>
    <t>$l_0=\qty{45.7}{\cm}$</t>
  </si>
  <si>
    <t>Absolute reduction</t>
  </si>
  <si>
    <t>Relative reduction</t>
  </si>
  <si>
    <t>Final proportion</t>
  </si>
  <si>
    <t>Fold improvement</t>
  </si>
  <si>
    <t>}</t>
  </si>
  <si>
    <t>Mean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</si>
</sst>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11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textRotation="90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/>
    <xf numFmtId="10" fontId="0" fillId="0" borderId="0" xfId="0" applyNumberFormat="1"/>
    <xf numFmtId="2" fontId="0" fillId="0" borderId="0" xfId="0" applyNumberForma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11B6-8118-467B-8966-D274265204EE}">
  <dimension ref="A1:J10"/>
  <sheetViews>
    <sheetView workbookViewId="0">
      <selection activeCell="D1" sqref="D1:D2"/>
    </sheetView>
  </sheetViews>
  <sheetFormatPr defaultRowHeight="15" x14ac:dyDescent="0.25"/>
  <cols>
    <col min="1" max="1" width="8.85546875" style="1"/>
    <col min="2" max="2" width="10.7109375" style="1" customWidth="1"/>
    <col min="3" max="3" width="5.7109375" customWidth="1"/>
  </cols>
  <sheetData>
    <row r="1" spans="1:10" s="1" customFormat="1" x14ac:dyDescent="0.25">
      <c r="A1" s="12" t="s">
        <v>4</v>
      </c>
      <c r="B1" s="12"/>
      <c r="C1" s="12" t="s">
        <v>5</v>
      </c>
      <c r="D1" s="12" t="s">
        <v>6</v>
      </c>
      <c r="E1" s="9" t="s">
        <v>10</v>
      </c>
      <c r="F1" s="9"/>
      <c r="G1" s="9"/>
      <c r="H1" s="9" t="s">
        <v>11</v>
      </c>
      <c r="I1" s="9"/>
      <c r="J1" s="9"/>
    </row>
    <row r="2" spans="1:10" s="1" customFormat="1" ht="24" customHeight="1" x14ac:dyDescent="0.25">
      <c r="A2" s="12"/>
      <c r="B2" s="12"/>
      <c r="C2" s="12"/>
      <c r="D2" s="12"/>
      <c r="E2" s="4" t="s">
        <v>9</v>
      </c>
      <c r="F2" s="4" t="s">
        <v>7</v>
      </c>
      <c r="G2" s="4" t="s">
        <v>8</v>
      </c>
      <c r="H2" s="4" t="s">
        <v>9</v>
      </c>
      <c r="I2" s="4" t="s">
        <v>7</v>
      </c>
      <c r="J2" s="4" t="s">
        <v>8</v>
      </c>
    </row>
    <row r="3" spans="1:10" x14ac:dyDescent="0.25">
      <c r="A3" s="10" t="s">
        <v>1</v>
      </c>
      <c r="B3" s="11" t="s">
        <v>2</v>
      </c>
      <c r="C3" s="2">
        <v>10</v>
      </c>
      <c r="D3" s="2">
        <v>48.5</v>
      </c>
      <c r="E3" s="2">
        <v>4.8705999999999996</v>
      </c>
      <c r="F3" s="2">
        <v>0.72330000000000005</v>
      </c>
      <c r="G3" s="2">
        <v>9.8648000000000007</v>
      </c>
      <c r="H3" s="2">
        <v>1.6074999999999999</v>
      </c>
      <c r="I3" s="2">
        <v>9.4799999999999995E-2</v>
      </c>
      <c r="J3" s="2">
        <v>3.2421000000000002</v>
      </c>
    </row>
    <row r="4" spans="1:10" x14ac:dyDescent="0.25">
      <c r="A4" s="10"/>
      <c r="B4" s="11"/>
      <c r="C4" s="2">
        <v>10</v>
      </c>
      <c r="D4" s="2">
        <v>45.7</v>
      </c>
      <c r="E4" s="2">
        <v>3.0238999999999998</v>
      </c>
      <c r="F4" s="2">
        <v>0.16320000000000001</v>
      </c>
      <c r="G4" s="2">
        <v>6.7526000000000002</v>
      </c>
      <c r="H4" s="2">
        <v>1.9151</v>
      </c>
      <c r="I4" s="2">
        <v>7.1599999999999997E-2</v>
      </c>
      <c r="J4" s="2">
        <v>4.6946000000000003</v>
      </c>
    </row>
    <row r="5" spans="1:10" x14ac:dyDescent="0.25">
      <c r="A5" s="10"/>
      <c r="B5" s="11" t="s">
        <v>3</v>
      </c>
      <c r="C5" s="2">
        <v>10</v>
      </c>
      <c r="D5" s="2">
        <v>41.5</v>
      </c>
      <c r="E5" s="2">
        <v>7.4481999999999999</v>
      </c>
      <c r="F5" s="2">
        <v>5.5566000000000004</v>
      </c>
      <c r="G5" s="2">
        <v>13.308400000000001</v>
      </c>
      <c r="H5" s="2">
        <v>0.68030000000000002</v>
      </c>
      <c r="I5" s="2">
        <v>5.2200000000000003E-2</v>
      </c>
      <c r="J5" s="2">
        <v>1.0546</v>
      </c>
    </row>
    <row r="6" spans="1:10" x14ac:dyDescent="0.25">
      <c r="A6" s="10"/>
      <c r="B6" s="11"/>
      <c r="C6" s="2">
        <v>20</v>
      </c>
      <c r="D6" s="2">
        <v>41.5</v>
      </c>
      <c r="E6" s="2">
        <v>14.8028</v>
      </c>
      <c r="F6" s="2">
        <v>3.3656000000000001</v>
      </c>
      <c r="G6" s="2">
        <v>23.714700000000001</v>
      </c>
      <c r="H6" s="2">
        <v>2.8675999999999999</v>
      </c>
      <c r="I6" s="2">
        <v>0.1263</v>
      </c>
      <c r="J6" s="2">
        <v>3.5497999999999998</v>
      </c>
    </row>
    <row r="7" spans="1:10" x14ac:dyDescent="0.25">
      <c r="A7" s="10" t="s">
        <v>12</v>
      </c>
      <c r="B7" s="9" t="s">
        <v>2</v>
      </c>
      <c r="C7" s="2">
        <v>10</v>
      </c>
      <c r="D7" s="2">
        <v>41.5</v>
      </c>
      <c r="E7" s="2">
        <v>4.5197081384539599</v>
      </c>
      <c r="F7" s="2">
        <v>3.9722004305122902</v>
      </c>
      <c r="G7" s="2">
        <v>11.7412109674933</v>
      </c>
      <c r="H7" s="2">
        <v>2.0417894891824799</v>
      </c>
      <c r="I7" s="2">
        <v>0.84442496918497401</v>
      </c>
      <c r="J7" s="2">
        <v>3.58761452437188</v>
      </c>
    </row>
    <row r="8" spans="1:10" x14ac:dyDescent="0.25">
      <c r="A8" s="10"/>
      <c r="B8" s="9"/>
      <c r="C8" s="2">
        <v>10</v>
      </c>
      <c r="D8" s="2">
        <v>45.7</v>
      </c>
      <c r="E8" s="2">
        <v>1.99920194837266</v>
      </c>
      <c r="F8" s="2">
        <v>0.89213700366721804</v>
      </c>
      <c r="G8" s="2">
        <v>4.6092079774300299</v>
      </c>
      <c r="H8" s="2">
        <v>0.89562322843932496</v>
      </c>
      <c r="I8" s="2">
        <v>0.17904777063236799</v>
      </c>
      <c r="J8" s="2">
        <v>1.8463910818920899</v>
      </c>
    </row>
    <row r="9" spans="1:10" x14ac:dyDescent="0.25">
      <c r="A9" s="10"/>
      <c r="B9" s="9"/>
      <c r="C9" s="2">
        <v>10</v>
      </c>
      <c r="D9" s="2">
        <v>48</v>
      </c>
      <c r="E9" s="2">
        <v>0.84470560285347895</v>
      </c>
      <c r="F9" s="2">
        <v>0.23173900510265799</v>
      </c>
      <c r="G9" s="2">
        <v>1.95145372442261</v>
      </c>
      <c r="H9" s="2">
        <v>0.68178489628790195</v>
      </c>
      <c r="I9" s="2">
        <v>0.150967387789747</v>
      </c>
      <c r="J9" s="2">
        <v>2.0676835787835999</v>
      </c>
    </row>
    <row r="10" spans="1:10" ht="30" x14ac:dyDescent="0.25">
      <c r="A10" s="10"/>
      <c r="B10" s="3" t="s">
        <v>3</v>
      </c>
      <c r="C10" s="2">
        <v>10</v>
      </c>
      <c r="D10" s="2">
        <v>51.8</v>
      </c>
      <c r="E10" s="2">
        <v>3.03222221811638</v>
      </c>
      <c r="F10" s="2">
        <v>4.4855531007687901</v>
      </c>
      <c r="G10" s="2">
        <v>5.5870357213666804</v>
      </c>
      <c r="H10" s="2">
        <v>1.4609329694573101</v>
      </c>
      <c r="I10" s="2">
        <v>1.0412488414276799</v>
      </c>
      <c r="J10" s="2">
        <v>2.7551515923112402</v>
      </c>
    </row>
  </sheetData>
  <mergeCells count="10">
    <mergeCell ref="E1:G1"/>
    <mergeCell ref="H1:J1"/>
    <mergeCell ref="A1:B2"/>
    <mergeCell ref="C1:C2"/>
    <mergeCell ref="D1:D2"/>
    <mergeCell ref="B7:B9"/>
    <mergeCell ref="A7:A10"/>
    <mergeCell ref="A3:A6"/>
    <mergeCell ref="B3:B4"/>
    <mergeCell ref="B5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20C50-7E80-41CF-971C-9DF8CC7EC325}">
  <dimension ref="A1:E3"/>
  <sheetViews>
    <sheetView workbookViewId="0"/>
  </sheetViews>
  <sheetFormatPr defaultRowHeight="15" x14ac:dyDescent="0.25"/>
  <cols>
    <col min="1" max="1" width="9.140625" style="1"/>
  </cols>
  <sheetData>
    <row r="1" spans="1:5" s="1" customFormat="1" x14ac:dyDescent="0.25">
      <c r="A1" s="5"/>
      <c r="B1" s="5" t="s">
        <v>13</v>
      </c>
      <c r="C1" s="5" t="s">
        <v>14</v>
      </c>
      <c r="D1" s="5" t="s">
        <v>15</v>
      </c>
      <c r="E1" s="5" t="s">
        <v>16</v>
      </c>
    </row>
    <row r="2" spans="1:5" x14ac:dyDescent="0.25">
      <c r="A2" s="5" t="s">
        <v>1</v>
      </c>
      <c r="B2" s="6">
        <v>1.1900000000000001E-2</v>
      </c>
      <c r="C2" s="7">
        <v>101740</v>
      </c>
      <c r="D2" s="7">
        <v>10648</v>
      </c>
      <c r="E2" s="8" t="s">
        <v>17</v>
      </c>
    </row>
    <row r="3" spans="1:5" x14ac:dyDescent="0.25">
      <c r="A3" s="5" t="s">
        <v>12</v>
      </c>
      <c r="B3" s="6">
        <v>-1.09E-2</v>
      </c>
      <c r="C3" s="7">
        <v>102000</v>
      </c>
      <c r="D3" s="7">
        <v>10600</v>
      </c>
      <c r="E3" s="6">
        <v>0.123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94F01-D57D-450A-B763-813D8766D7FF}">
  <dimension ref="A1:T9"/>
  <sheetViews>
    <sheetView workbookViewId="0">
      <selection activeCell="G4" sqref="G4"/>
    </sheetView>
  </sheetViews>
  <sheetFormatPr defaultRowHeight="15" x14ac:dyDescent="0.25"/>
  <cols>
    <col min="1" max="1" width="14.42578125" customWidth="1"/>
    <col min="4" max="4" width="13.85546875" customWidth="1"/>
    <col min="10" max="10" width="22" customWidth="1"/>
    <col min="12" max="12" width="16.85546875" customWidth="1"/>
    <col min="13" max="13" width="10.85546875" customWidth="1"/>
    <col min="15" max="15" width="19.42578125" customWidth="1"/>
    <col min="16" max="16" width="17.5703125" customWidth="1"/>
    <col min="17" max="17" width="15.42578125" customWidth="1"/>
    <col min="18" max="18" width="17.42578125" customWidth="1"/>
  </cols>
  <sheetData>
    <row r="1" spans="1:20" x14ac:dyDescent="0.25">
      <c r="C1" t="s">
        <v>22</v>
      </c>
      <c r="F1" t="s">
        <v>23</v>
      </c>
    </row>
    <row r="2" spans="1:20" x14ac:dyDescent="0.25">
      <c r="B2" s="1" t="s">
        <v>0</v>
      </c>
      <c r="C2" s="1" t="s">
        <v>7</v>
      </c>
      <c r="D2" s="1" t="s">
        <v>19</v>
      </c>
      <c r="E2" s="1" t="s">
        <v>0</v>
      </c>
      <c r="F2" s="1" t="s">
        <v>7</v>
      </c>
      <c r="G2" s="1" t="s">
        <v>19</v>
      </c>
    </row>
    <row r="3" spans="1:20" x14ac:dyDescent="0.25">
      <c r="A3" s="1" t="s">
        <v>18</v>
      </c>
      <c r="B3">
        <v>4.8705999999999996</v>
      </c>
      <c r="C3">
        <v>0.72330000000000005</v>
      </c>
      <c r="D3">
        <v>9.8648000000000007</v>
      </c>
      <c r="E3">
        <v>3.0238999999999998</v>
      </c>
      <c r="F3">
        <v>0.16320000000000001</v>
      </c>
      <c r="G3">
        <v>6.7526000000000002</v>
      </c>
      <c r="L3" s="1" t="s">
        <v>18</v>
      </c>
      <c r="M3" s="1" t="s">
        <v>11</v>
      </c>
      <c r="O3" s="1" t="s">
        <v>24</v>
      </c>
      <c r="P3" s="1" t="s">
        <v>25</v>
      </c>
      <c r="Q3" s="1" t="s">
        <v>26</v>
      </c>
      <c r="R3" s="1" t="s">
        <v>27</v>
      </c>
      <c r="T3" s="1" t="s">
        <v>29</v>
      </c>
    </row>
    <row r="4" spans="1:20" x14ac:dyDescent="0.25">
      <c r="A4" s="1" t="s">
        <v>11</v>
      </c>
      <c r="B4">
        <v>1.6074999999999999</v>
      </c>
      <c r="C4">
        <v>9.4799999999999995E-2</v>
      </c>
      <c r="D4">
        <v>3.2421000000000002</v>
      </c>
      <c r="E4">
        <v>1.9151</v>
      </c>
      <c r="F4">
        <v>7.1599999999999997E-2</v>
      </c>
      <c r="G4">
        <v>4.6946000000000003</v>
      </c>
      <c r="J4" t="s">
        <v>22</v>
      </c>
      <c r="K4" s="1" t="s">
        <v>0</v>
      </c>
      <c r="L4">
        <v>4.8705999999999996</v>
      </c>
      <c r="M4">
        <v>1.6074999999999999</v>
      </c>
      <c r="O4">
        <f>L4-M4</f>
        <v>3.2630999999999997</v>
      </c>
      <c r="P4" s="13">
        <f>O4/L4</f>
        <v>0.66995852667022537</v>
      </c>
      <c r="Q4" s="13">
        <f>M4/L4</f>
        <v>0.33004147332977457</v>
      </c>
      <c r="R4" s="14">
        <f>L4/M4</f>
        <v>3.0299222395023326</v>
      </c>
      <c r="S4" s="15" t="s">
        <v>28</v>
      </c>
    </row>
    <row r="5" spans="1:20" x14ac:dyDescent="0.25">
      <c r="K5" s="1" t="s">
        <v>7</v>
      </c>
      <c r="L5">
        <v>0.72330000000000005</v>
      </c>
      <c r="M5">
        <v>9.4799999999999995E-2</v>
      </c>
      <c r="O5">
        <f t="shared" ref="O5:O9" si="0">L5-M5</f>
        <v>0.62850000000000006</v>
      </c>
      <c r="P5" s="13">
        <f t="shared" ref="P5:P9" si="1">O5/L5</f>
        <v>0.86893405226047282</v>
      </c>
      <c r="Q5" s="13">
        <f t="shared" ref="Q5:Q9" si="2">M5/L5</f>
        <v>0.13106594773952715</v>
      </c>
      <c r="R5" s="14">
        <f t="shared" ref="R5:R9" si="3">L5/M5</f>
        <v>7.6297468354430391</v>
      </c>
      <c r="S5" s="15"/>
      <c r="T5" s="14">
        <f>AVERAGE(R4:R6)</f>
        <v>4.567462766712973</v>
      </c>
    </row>
    <row r="6" spans="1:20" x14ac:dyDescent="0.25">
      <c r="K6" s="1" t="s">
        <v>19</v>
      </c>
      <c r="L6">
        <v>9.8648000000000007</v>
      </c>
      <c r="M6">
        <v>3.2421000000000002</v>
      </c>
      <c r="O6">
        <f t="shared" si="0"/>
        <v>6.6227</v>
      </c>
      <c r="P6" s="13">
        <f t="shared" si="1"/>
        <v>0.67134660611467034</v>
      </c>
      <c r="Q6" s="13">
        <f t="shared" si="2"/>
        <v>0.32865339388532966</v>
      </c>
      <c r="R6" s="14">
        <f t="shared" si="3"/>
        <v>3.0427192251935473</v>
      </c>
      <c r="S6" s="15"/>
    </row>
    <row r="7" spans="1:20" x14ac:dyDescent="0.25">
      <c r="J7" t="s">
        <v>23</v>
      </c>
      <c r="K7" s="1" t="s">
        <v>0</v>
      </c>
      <c r="L7">
        <v>3.0238999999999998</v>
      </c>
      <c r="M7">
        <v>1.9151</v>
      </c>
      <c r="O7">
        <f t="shared" si="0"/>
        <v>1.1087999999999998</v>
      </c>
      <c r="P7" s="13">
        <f t="shared" si="1"/>
        <v>0.36667879228810474</v>
      </c>
      <c r="Q7" s="13">
        <f t="shared" si="2"/>
        <v>0.63332120771189526</v>
      </c>
      <c r="R7" s="14">
        <f t="shared" si="3"/>
        <v>1.5789775990809878</v>
      </c>
      <c r="S7" s="15" t="s">
        <v>28</v>
      </c>
    </row>
    <row r="8" spans="1:20" x14ac:dyDescent="0.25">
      <c r="K8" s="1" t="s">
        <v>7</v>
      </c>
      <c r="L8">
        <v>0.16320000000000001</v>
      </c>
      <c r="M8">
        <v>7.1599999999999997E-2</v>
      </c>
      <c r="O8">
        <f t="shared" si="0"/>
        <v>9.1600000000000015E-2</v>
      </c>
      <c r="P8" s="13">
        <f t="shared" si="1"/>
        <v>0.56127450980392157</v>
      </c>
      <c r="Q8" s="13">
        <f t="shared" si="2"/>
        <v>0.43872549019607837</v>
      </c>
      <c r="R8" s="14">
        <f t="shared" si="3"/>
        <v>2.2793296089385477</v>
      </c>
      <c r="S8" s="15"/>
      <c r="T8" s="14">
        <f>AVERAGE(R7:R9)</f>
        <v>1.7655610714983536</v>
      </c>
    </row>
    <row r="9" spans="1:20" x14ac:dyDescent="0.25">
      <c r="K9" s="1" t="s">
        <v>19</v>
      </c>
      <c r="L9">
        <v>6.7526000000000002</v>
      </c>
      <c r="M9">
        <v>4.6946000000000003</v>
      </c>
      <c r="O9">
        <f t="shared" si="0"/>
        <v>2.0579999999999998</v>
      </c>
      <c r="P9" s="13">
        <f t="shared" si="1"/>
        <v>0.3047714954239848</v>
      </c>
      <c r="Q9" s="13">
        <f t="shared" si="2"/>
        <v>0.69522850457601515</v>
      </c>
      <c r="R9" s="14">
        <f t="shared" si="3"/>
        <v>1.4383760064755251</v>
      </c>
      <c r="S9" s="15"/>
    </row>
  </sheetData>
  <mergeCells count="2">
    <mergeCell ref="S4:S6"/>
    <mergeCell ref="S7:S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15953-A445-45E6-AC52-8D43A9DEB943}">
  <dimension ref="A1:U8"/>
  <sheetViews>
    <sheetView workbookViewId="0">
      <selection activeCell="K10" sqref="K10"/>
    </sheetView>
  </sheetViews>
  <sheetFormatPr defaultRowHeight="15" x14ac:dyDescent="0.25"/>
  <cols>
    <col min="1" max="1" width="14.42578125" customWidth="1"/>
    <col min="4" max="4" width="13.85546875" customWidth="1"/>
    <col min="11" max="11" width="20.7109375" customWidth="1"/>
    <col min="16" max="16" width="17.85546875" customWidth="1"/>
    <col min="17" max="17" width="17.7109375" customWidth="1"/>
    <col min="18" max="18" width="16.140625" customWidth="1"/>
    <col min="19" max="19" width="18" customWidth="1"/>
  </cols>
  <sheetData>
    <row r="1" spans="1:21" x14ac:dyDescent="0.25">
      <c r="C1" t="s">
        <v>20</v>
      </c>
      <c r="F1" t="s">
        <v>21</v>
      </c>
    </row>
    <row r="2" spans="1:21" x14ac:dyDescent="0.25">
      <c r="B2" s="1" t="s">
        <v>0</v>
      </c>
      <c r="C2" s="1" t="s">
        <v>7</v>
      </c>
      <c r="D2" s="1" t="s">
        <v>19</v>
      </c>
      <c r="E2" s="1" t="s">
        <v>0</v>
      </c>
      <c r="F2" s="1" t="s">
        <v>7</v>
      </c>
      <c r="G2" s="1" t="s">
        <v>19</v>
      </c>
      <c r="M2" s="1" t="s">
        <v>18</v>
      </c>
      <c r="N2" s="1" t="s">
        <v>11</v>
      </c>
      <c r="P2" s="1" t="s">
        <v>24</v>
      </c>
      <c r="Q2" s="1" t="s">
        <v>25</v>
      </c>
      <c r="R2" s="1" t="s">
        <v>26</v>
      </c>
      <c r="S2" s="1" t="s">
        <v>27</v>
      </c>
      <c r="U2" s="1" t="s">
        <v>29</v>
      </c>
    </row>
    <row r="3" spans="1:21" x14ac:dyDescent="0.25">
      <c r="A3" s="1" t="s">
        <v>18</v>
      </c>
      <c r="B3">
        <v>7.4481999999999999</v>
      </c>
      <c r="C3">
        <v>5.5566000000000004</v>
      </c>
      <c r="D3">
        <v>13.308400000000001</v>
      </c>
      <c r="E3">
        <v>14.8028</v>
      </c>
      <c r="F3">
        <v>3.3656000000000001</v>
      </c>
      <c r="G3">
        <v>23.714700000000001</v>
      </c>
      <c r="K3" t="s">
        <v>20</v>
      </c>
      <c r="L3" s="1" t="s">
        <v>0</v>
      </c>
      <c r="M3">
        <v>7.4481999999999999</v>
      </c>
      <c r="N3">
        <v>0.68030000000000002</v>
      </c>
      <c r="P3">
        <f>M3-N3</f>
        <v>6.7679</v>
      </c>
      <c r="Q3" s="13">
        <f>P3/M3</f>
        <v>0.90866249563652968</v>
      </c>
      <c r="R3" s="13">
        <f>N3/M3</f>
        <v>9.1337504363470365E-2</v>
      </c>
      <c r="S3" s="14">
        <f>M3/N3</f>
        <v>10.948405115390269</v>
      </c>
      <c r="T3" s="15" t="s">
        <v>28</v>
      </c>
    </row>
    <row r="4" spans="1:21" x14ac:dyDescent="0.25">
      <c r="A4" s="1" t="s">
        <v>11</v>
      </c>
      <c r="B4">
        <v>0.68030000000000002</v>
      </c>
      <c r="C4">
        <v>5.2200000000000003E-2</v>
      </c>
      <c r="D4">
        <v>1.0546</v>
      </c>
      <c r="E4">
        <v>2.8675999999999999</v>
      </c>
      <c r="F4">
        <v>0.1263</v>
      </c>
      <c r="G4">
        <v>3.5497999999999998</v>
      </c>
      <c r="L4" s="1" t="s">
        <v>7</v>
      </c>
      <c r="M4">
        <v>5.5566000000000004</v>
      </c>
      <c r="N4">
        <v>5.2200000000000003E-2</v>
      </c>
      <c r="P4">
        <f t="shared" ref="P4:P8" si="0">M4-N4</f>
        <v>5.5044000000000004</v>
      </c>
      <c r="Q4" s="13">
        <f t="shared" ref="Q4:Q8" si="1">P4/M4</f>
        <v>0.99060576611597018</v>
      </c>
      <c r="R4" s="13">
        <f t="shared" ref="R4:R8" si="2">N4/M4</f>
        <v>9.3942338840298026E-3</v>
      </c>
      <c r="S4" s="14">
        <f t="shared" ref="S4:S8" si="3">M4/N4</f>
        <v>106.44827586206897</v>
      </c>
      <c r="T4" s="15"/>
      <c r="U4" s="14">
        <f>AVERAGE(S3:S5)</f>
        <v>43.33868757785843</v>
      </c>
    </row>
    <row r="5" spans="1:21" x14ac:dyDescent="0.25">
      <c r="L5" s="1" t="s">
        <v>19</v>
      </c>
      <c r="M5">
        <v>13.308400000000001</v>
      </c>
      <c r="N5">
        <v>1.0546</v>
      </c>
      <c r="P5">
        <f t="shared" si="0"/>
        <v>12.2538</v>
      </c>
      <c r="Q5" s="13">
        <f t="shared" si="1"/>
        <v>0.92075681524450714</v>
      </c>
      <c r="R5" s="13">
        <f t="shared" si="2"/>
        <v>7.924318475549276E-2</v>
      </c>
      <c r="S5" s="14">
        <f t="shared" si="3"/>
        <v>12.619381756116065</v>
      </c>
      <c r="T5" s="15"/>
    </row>
    <row r="6" spans="1:21" x14ac:dyDescent="0.25">
      <c r="K6" t="s">
        <v>21</v>
      </c>
      <c r="L6" s="1" t="s">
        <v>0</v>
      </c>
      <c r="M6">
        <v>14.8028</v>
      </c>
      <c r="N6">
        <v>2.8675999999999999</v>
      </c>
      <c r="P6">
        <f t="shared" si="0"/>
        <v>11.9352</v>
      </c>
      <c r="Q6" s="13">
        <f t="shared" si="1"/>
        <v>0.80627989299321756</v>
      </c>
      <c r="R6" s="13">
        <f t="shared" si="2"/>
        <v>0.19372010700678249</v>
      </c>
      <c r="S6" s="14">
        <f t="shared" si="3"/>
        <v>5.1620867624494347</v>
      </c>
      <c r="T6" s="15" t="s">
        <v>28</v>
      </c>
    </row>
    <row r="7" spans="1:21" x14ac:dyDescent="0.25">
      <c r="L7" s="1" t="s">
        <v>7</v>
      </c>
      <c r="M7">
        <v>3.3656000000000001</v>
      </c>
      <c r="N7">
        <v>0.1263</v>
      </c>
      <c r="P7">
        <f t="shared" si="0"/>
        <v>3.2393000000000001</v>
      </c>
      <c r="Q7" s="13">
        <f t="shared" si="1"/>
        <v>0.96247325885429047</v>
      </c>
      <c r="R7" s="13">
        <f t="shared" si="2"/>
        <v>3.752674114570953E-2</v>
      </c>
      <c r="S7" s="14">
        <f t="shared" si="3"/>
        <v>26.647664291369757</v>
      </c>
      <c r="T7" s="15"/>
      <c r="U7" s="14">
        <f>AVERAGE(S6:S8)</f>
        <v>12.830108202419607</v>
      </c>
    </row>
    <row r="8" spans="1:21" x14ac:dyDescent="0.25">
      <c r="L8" s="1" t="s">
        <v>19</v>
      </c>
      <c r="M8">
        <v>23.714700000000001</v>
      </c>
      <c r="N8">
        <v>3.5497999999999998</v>
      </c>
      <c r="P8">
        <f t="shared" si="0"/>
        <v>20.164899999999999</v>
      </c>
      <c r="Q8" s="13">
        <f t="shared" si="1"/>
        <v>0.85031225358111207</v>
      </c>
      <c r="R8" s="13">
        <f t="shared" si="2"/>
        <v>0.14968774641888785</v>
      </c>
      <c r="S8" s="14">
        <f t="shared" si="3"/>
        <v>6.6805735534396309</v>
      </c>
      <c r="T8" s="15"/>
    </row>
  </sheetData>
  <mergeCells count="2">
    <mergeCell ref="T3:T5"/>
    <mergeCell ref="T6:T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37EE-E1A1-433C-A584-5AF81DBAEE85}">
  <dimension ref="A1:W12"/>
  <sheetViews>
    <sheetView tabSelected="1" workbookViewId="0">
      <selection activeCell="F36" sqref="F36"/>
    </sheetView>
  </sheetViews>
  <sheetFormatPr defaultRowHeight="15" x14ac:dyDescent="0.25"/>
  <cols>
    <col min="1" max="1" width="14.42578125" customWidth="1"/>
    <col min="4" max="4" width="13.85546875" customWidth="1"/>
    <col min="15" max="15" width="11.42578125" customWidth="1"/>
    <col min="18" max="18" width="19.85546875" customWidth="1"/>
    <col min="19" max="19" width="18" customWidth="1"/>
    <col min="20" max="20" width="15.42578125" customWidth="1"/>
    <col min="21" max="21" width="17.28515625" customWidth="1"/>
  </cols>
  <sheetData>
    <row r="1" spans="1:23" x14ac:dyDescent="0.25">
      <c r="C1" t="s">
        <v>22</v>
      </c>
      <c r="F1" t="s">
        <v>23</v>
      </c>
      <c r="I1" t="s">
        <v>23</v>
      </c>
    </row>
    <row r="2" spans="1:23" x14ac:dyDescent="0.25">
      <c r="B2" s="1" t="s">
        <v>0</v>
      </c>
      <c r="C2" s="1" t="s">
        <v>7</v>
      </c>
      <c r="D2" s="1" t="s">
        <v>19</v>
      </c>
      <c r="E2" s="1" t="s">
        <v>0</v>
      </c>
      <c r="F2" s="1" t="s">
        <v>7</v>
      </c>
      <c r="G2" s="1" t="s">
        <v>19</v>
      </c>
      <c r="H2" s="1" t="s">
        <v>0</v>
      </c>
      <c r="I2" s="1" t="s">
        <v>7</v>
      </c>
      <c r="J2" s="1" t="s">
        <v>19</v>
      </c>
    </row>
    <row r="3" spans="1:23" x14ac:dyDescent="0.25">
      <c r="A3" s="1" t="s">
        <v>18</v>
      </c>
      <c r="B3">
        <v>4.8705999999999996</v>
      </c>
      <c r="C3">
        <v>0.72330000000000005</v>
      </c>
      <c r="D3">
        <v>9.8648000000000007</v>
      </c>
      <c r="E3">
        <v>3.0238999999999998</v>
      </c>
      <c r="F3">
        <v>0.16320000000000001</v>
      </c>
      <c r="G3">
        <v>6.7526000000000002</v>
      </c>
      <c r="H3">
        <v>3.0238999999999998</v>
      </c>
      <c r="I3">
        <v>0.16320000000000001</v>
      </c>
      <c r="J3">
        <v>6.7526000000000002</v>
      </c>
      <c r="O3" s="1" t="s">
        <v>18</v>
      </c>
      <c r="P3" s="1" t="s">
        <v>11</v>
      </c>
      <c r="R3" s="1" t="s">
        <v>24</v>
      </c>
      <c r="S3" s="1" t="s">
        <v>25</v>
      </c>
      <c r="T3" s="1" t="s">
        <v>26</v>
      </c>
      <c r="U3" s="1" t="s">
        <v>27</v>
      </c>
      <c r="W3" s="1" t="s">
        <v>29</v>
      </c>
    </row>
    <row r="4" spans="1:23" ht="15" customHeight="1" x14ac:dyDescent="0.25">
      <c r="A4" s="1" t="s">
        <v>11</v>
      </c>
      <c r="B4">
        <v>1.6074999999999999</v>
      </c>
      <c r="C4">
        <v>9.4799999999999995E-2</v>
      </c>
      <c r="D4">
        <v>3.2421000000000002</v>
      </c>
      <c r="E4">
        <v>1.9151</v>
      </c>
      <c r="F4">
        <v>7.1599999999999997E-2</v>
      </c>
      <c r="G4">
        <v>4.6946000000000003</v>
      </c>
      <c r="H4">
        <v>1.9151</v>
      </c>
      <c r="I4">
        <v>7.1599999999999997E-2</v>
      </c>
      <c r="J4">
        <v>4.6946000000000003</v>
      </c>
      <c r="M4" t="s">
        <v>22</v>
      </c>
      <c r="N4" s="1" t="s">
        <v>0</v>
      </c>
      <c r="O4">
        <v>4.8705999999999996</v>
      </c>
      <c r="P4">
        <v>1.6074999999999999</v>
      </c>
      <c r="R4">
        <f>O4-P4</f>
        <v>3.2630999999999997</v>
      </c>
      <c r="S4" s="13">
        <f>R4/O4</f>
        <v>0.66995852667022537</v>
      </c>
      <c r="T4" s="13">
        <f>P4/O4</f>
        <v>0.33004147332977457</v>
      </c>
      <c r="U4" s="14">
        <f>O4/P4</f>
        <v>3.0299222395023326</v>
      </c>
      <c r="V4" s="15" t="s">
        <v>28</v>
      </c>
    </row>
    <row r="5" spans="1:23" ht="15" customHeight="1" x14ac:dyDescent="0.25">
      <c r="N5" s="1" t="s">
        <v>7</v>
      </c>
      <c r="O5">
        <v>0.72330000000000005</v>
      </c>
      <c r="P5">
        <v>9.4799999999999995E-2</v>
      </c>
      <c r="R5">
        <f t="shared" ref="R5:R12" si="0">O5-P5</f>
        <v>0.62850000000000006</v>
      </c>
      <c r="S5" s="13">
        <f t="shared" ref="S5:S12" si="1">R5/O5</f>
        <v>0.86893405226047282</v>
      </c>
      <c r="T5" s="13">
        <f t="shared" ref="T5:T12" si="2">P5/O5</f>
        <v>0.13106594773952715</v>
      </c>
      <c r="U5" s="14">
        <f t="shared" ref="U5:U12" si="3">O5/P5</f>
        <v>7.6297468354430391</v>
      </c>
      <c r="V5" s="15"/>
      <c r="W5" s="14">
        <f>AVERAGE(U4:U6)</f>
        <v>4.567462766712973</v>
      </c>
    </row>
    <row r="6" spans="1:23" ht="15" customHeight="1" x14ac:dyDescent="0.25">
      <c r="N6" s="1" t="s">
        <v>19</v>
      </c>
      <c r="O6">
        <v>9.8648000000000007</v>
      </c>
      <c r="P6">
        <v>3.2421000000000002</v>
      </c>
      <c r="R6">
        <f t="shared" si="0"/>
        <v>6.6227</v>
      </c>
      <c r="S6" s="13">
        <f t="shared" si="1"/>
        <v>0.67134660611467034</v>
      </c>
      <c r="T6" s="13">
        <f t="shared" si="2"/>
        <v>0.32865339388532966</v>
      </c>
      <c r="U6" s="14">
        <f t="shared" si="3"/>
        <v>3.0427192251935473</v>
      </c>
      <c r="V6" s="15"/>
    </row>
    <row r="7" spans="1:23" ht="15" customHeight="1" x14ac:dyDescent="0.25">
      <c r="M7" t="s">
        <v>23</v>
      </c>
      <c r="N7" s="1" t="s">
        <v>0</v>
      </c>
      <c r="O7">
        <v>3.0238999999999998</v>
      </c>
      <c r="P7">
        <v>1.9151</v>
      </c>
      <c r="R7">
        <f t="shared" si="0"/>
        <v>1.1087999999999998</v>
      </c>
      <c r="S7" s="13">
        <f t="shared" si="1"/>
        <v>0.36667879228810474</v>
      </c>
      <c r="T7" s="13">
        <f t="shared" si="2"/>
        <v>0.63332120771189526</v>
      </c>
      <c r="U7" s="14">
        <f t="shared" si="3"/>
        <v>1.5789775990809878</v>
      </c>
      <c r="V7" s="15" t="s">
        <v>28</v>
      </c>
    </row>
    <row r="8" spans="1:23" ht="15" customHeight="1" x14ac:dyDescent="0.25">
      <c r="N8" s="1" t="s">
        <v>7</v>
      </c>
      <c r="O8">
        <v>0.16320000000000001</v>
      </c>
      <c r="P8">
        <v>7.1599999999999997E-2</v>
      </c>
      <c r="R8">
        <f t="shared" si="0"/>
        <v>9.1600000000000015E-2</v>
      </c>
      <c r="S8" s="13">
        <f t="shared" si="1"/>
        <v>0.56127450980392157</v>
      </c>
      <c r="T8" s="13">
        <f t="shared" si="2"/>
        <v>0.43872549019607837</v>
      </c>
      <c r="U8" s="14">
        <f t="shared" si="3"/>
        <v>2.2793296089385477</v>
      </c>
      <c r="V8" s="15"/>
      <c r="W8" s="14">
        <f>AVERAGE(U7:U9)</f>
        <v>1.7655610714983536</v>
      </c>
    </row>
    <row r="9" spans="1:23" ht="15" customHeight="1" x14ac:dyDescent="0.25">
      <c r="N9" s="1" t="s">
        <v>19</v>
      </c>
      <c r="O9">
        <v>6.7526000000000002</v>
      </c>
      <c r="P9">
        <v>4.6946000000000003</v>
      </c>
      <c r="R9">
        <f t="shared" si="0"/>
        <v>2.0579999999999998</v>
      </c>
      <c r="S9" s="13">
        <f t="shared" si="1"/>
        <v>0.3047714954239848</v>
      </c>
      <c r="T9" s="13">
        <f t="shared" si="2"/>
        <v>0.69522850457601515</v>
      </c>
      <c r="U9" s="14">
        <f t="shared" si="3"/>
        <v>1.4383760064755251</v>
      </c>
      <c r="V9" s="15"/>
    </row>
    <row r="10" spans="1:23" ht="15" customHeight="1" x14ac:dyDescent="0.25">
      <c r="M10" t="s">
        <v>23</v>
      </c>
      <c r="N10" s="1" t="s">
        <v>0</v>
      </c>
      <c r="O10">
        <v>3.0238999999999998</v>
      </c>
      <c r="P10">
        <v>1.9151</v>
      </c>
      <c r="R10">
        <f t="shared" si="0"/>
        <v>1.1087999999999998</v>
      </c>
      <c r="S10" s="13">
        <f t="shared" si="1"/>
        <v>0.36667879228810474</v>
      </c>
      <c r="T10" s="13">
        <f t="shared" si="2"/>
        <v>0.63332120771189526</v>
      </c>
      <c r="U10" s="14">
        <f t="shared" si="3"/>
        <v>1.5789775990809878</v>
      </c>
      <c r="V10" s="15" t="s">
        <v>28</v>
      </c>
    </row>
    <row r="11" spans="1:23" ht="15" customHeight="1" x14ac:dyDescent="0.25">
      <c r="N11" s="1" t="s">
        <v>7</v>
      </c>
      <c r="O11">
        <v>0.16320000000000001</v>
      </c>
      <c r="P11">
        <v>7.1599999999999997E-2</v>
      </c>
      <c r="R11">
        <f t="shared" si="0"/>
        <v>9.1600000000000015E-2</v>
      </c>
      <c r="S11" s="13">
        <f t="shared" si="1"/>
        <v>0.56127450980392157</v>
      </c>
      <c r="T11" s="13">
        <f t="shared" si="2"/>
        <v>0.43872549019607837</v>
      </c>
      <c r="U11" s="14">
        <f t="shared" si="3"/>
        <v>2.2793296089385477</v>
      </c>
      <c r="V11" s="15"/>
      <c r="W11" s="14">
        <f>AVERAGE(U10:U12)</f>
        <v>1.7655610714983536</v>
      </c>
    </row>
    <row r="12" spans="1:23" ht="15" customHeight="1" x14ac:dyDescent="0.25">
      <c r="N12" s="1" t="s">
        <v>19</v>
      </c>
      <c r="O12">
        <v>6.7526000000000002</v>
      </c>
      <c r="P12">
        <v>4.6946000000000003</v>
      </c>
      <c r="R12">
        <f t="shared" si="0"/>
        <v>2.0579999999999998</v>
      </c>
      <c r="S12" s="13">
        <f t="shared" si="1"/>
        <v>0.3047714954239848</v>
      </c>
      <c r="T12" s="13">
        <f t="shared" si="2"/>
        <v>0.69522850457601515</v>
      </c>
      <c r="U12" s="14">
        <f t="shared" si="3"/>
        <v>1.4383760064755251</v>
      </c>
      <c r="V12" s="15"/>
    </row>
  </sheetData>
  <mergeCells count="3">
    <mergeCell ref="V4:V6"/>
    <mergeCell ref="V7:V9"/>
    <mergeCell ref="V10:V1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6D9-1B5E-4DCF-99EA-26D63720F071}">
  <dimension ref="A1:Q9"/>
  <sheetViews>
    <sheetView workbookViewId="0">
      <selection activeCell="M6" sqref="M6"/>
    </sheetView>
  </sheetViews>
  <sheetFormatPr defaultRowHeight="15" x14ac:dyDescent="0.25"/>
  <cols>
    <col min="1" max="1" width="14.42578125" customWidth="1"/>
    <col min="4" max="4" width="13.85546875" customWidth="1"/>
    <col min="7" max="7" width="22" customWidth="1"/>
    <col min="9" max="9" width="16.85546875" customWidth="1"/>
    <col min="10" max="10" width="10.85546875" customWidth="1"/>
    <col min="12" max="12" width="19.42578125" customWidth="1"/>
    <col min="13" max="13" width="17.5703125" customWidth="1"/>
    <col min="14" max="14" width="15.42578125" customWidth="1"/>
    <col min="15" max="15" width="17.42578125" customWidth="1"/>
  </cols>
  <sheetData>
    <row r="1" spans="1:17" x14ac:dyDescent="0.25">
      <c r="C1" t="s">
        <v>22</v>
      </c>
    </row>
    <row r="2" spans="1:17" x14ac:dyDescent="0.25">
      <c r="B2" s="1" t="s">
        <v>0</v>
      </c>
      <c r="C2" s="1" t="s">
        <v>7</v>
      </c>
      <c r="D2" s="1" t="s">
        <v>19</v>
      </c>
    </row>
    <row r="3" spans="1:17" x14ac:dyDescent="0.25">
      <c r="A3" s="1" t="s">
        <v>18</v>
      </c>
      <c r="B3">
        <v>4.8705999999999996</v>
      </c>
      <c r="C3">
        <v>0.72330000000000005</v>
      </c>
      <c r="D3">
        <v>9.8648000000000007</v>
      </c>
      <c r="I3" s="1" t="s">
        <v>18</v>
      </c>
      <c r="J3" s="1" t="s">
        <v>11</v>
      </c>
      <c r="L3" s="1" t="s">
        <v>24</v>
      </c>
      <c r="M3" s="1" t="s">
        <v>25</v>
      </c>
      <c r="N3" s="1" t="s">
        <v>26</v>
      </c>
      <c r="O3" s="1" t="s">
        <v>27</v>
      </c>
      <c r="Q3" s="1" t="s">
        <v>29</v>
      </c>
    </row>
    <row r="4" spans="1:17" x14ac:dyDescent="0.25">
      <c r="A4" s="1" t="s">
        <v>11</v>
      </c>
      <c r="B4">
        <v>1.6074999999999999</v>
      </c>
      <c r="C4">
        <v>9.4799999999999995E-2</v>
      </c>
      <c r="D4">
        <v>3.2421000000000002</v>
      </c>
      <c r="G4" t="s">
        <v>22</v>
      </c>
      <c r="H4" s="1" t="s">
        <v>0</v>
      </c>
      <c r="I4">
        <v>4.8705999999999996</v>
      </c>
      <c r="J4">
        <v>1.6074999999999999</v>
      </c>
      <c r="L4">
        <f>I4-J4</f>
        <v>3.2630999999999997</v>
      </c>
      <c r="M4" s="13">
        <f>L4/I4</f>
        <v>0.66995852667022537</v>
      </c>
      <c r="N4" s="13">
        <f>J4/I4</f>
        <v>0.33004147332977457</v>
      </c>
      <c r="O4" s="14">
        <f>I4/J4</f>
        <v>3.0299222395023326</v>
      </c>
      <c r="P4" s="15" t="s">
        <v>28</v>
      </c>
    </row>
    <row r="5" spans="1:17" x14ac:dyDescent="0.25">
      <c r="H5" s="1" t="s">
        <v>7</v>
      </c>
      <c r="I5">
        <v>0.72330000000000005</v>
      </c>
      <c r="J5">
        <v>9.4799999999999995E-2</v>
      </c>
      <c r="L5">
        <f t="shared" ref="L5:L9" si="0">I5-J5</f>
        <v>0.62850000000000006</v>
      </c>
      <c r="M5" s="13">
        <f t="shared" ref="M5:M8" si="1">L5/I5</f>
        <v>0.86893405226047282</v>
      </c>
      <c r="N5" s="13">
        <f t="shared" ref="N5:N9" si="2">J5/I5</f>
        <v>0.13106594773952715</v>
      </c>
      <c r="O5" s="14">
        <f t="shared" ref="O5:O9" si="3">I5/J5</f>
        <v>7.6297468354430391</v>
      </c>
      <c r="P5" s="15"/>
      <c r="Q5" s="14">
        <f>AVERAGE(O4:O6)</f>
        <v>4.567462766712973</v>
      </c>
    </row>
    <row r="6" spans="1:17" x14ac:dyDescent="0.25">
      <c r="H6" s="1" t="s">
        <v>19</v>
      </c>
      <c r="I6">
        <v>9.8648000000000007</v>
      </c>
      <c r="J6">
        <v>3.2421000000000002</v>
      </c>
      <c r="L6">
        <f t="shared" si="0"/>
        <v>6.6227</v>
      </c>
      <c r="M6" s="13">
        <f t="shared" si="1"/>
        <v>0.67134660611467034</v>
      </c>
      <c r="N6" s="13">
        <f t="shared" si="2"/>
        <v>0.32865339388532966</v>
      </c>
      <c r="O6" s="14">
        <f t="shared" si="3"/>
        <v>3.0427192251935473</v>
      </c>
      <c r="P6" s="15"/>
    </row>
    <row r="7" spans="1:17" x14ac:dyDescent="0.25">
      <c r="H7" s="1"/>
      <c r="M7" s="13"/>
      <c r="N7" s="13"/>
      <c r="O7" s="14"/>
      <c r="P7" s="15"/>
    </row>
    <row r="8" spans="1:17" x14ac:dyDescent="0.25">
      <c r="H8" s="1"/>
      <c r="M8" s="13"/>
      <c r="N8" s="13"/>
      <c r="O8" s="14"/>
      <c r="P8" s="15"/>
      <c r="Q8" s="14"/>
    </row>
    <row r="9" spans="1:17" x14ac:dyDescent="0.25">
      <c r="H9" s="1"/>
      <c r="M9" s="13"/>
      <c r="N9" s="13"/>
      <c r="O9" s="14"/>
      <c r="P9" s="15"/>
    </row>
  </sheetData>
  <mergeCells count="2">
    <mergeCell ref="P4:P6"/>
    <mergeCell ref="P7:P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Gof_FlxExt</vt:lpstr>
      <vt:lpstr>Optimized values</vt:lpstr>
      <vt:lpstr>FlxPin</vt:lpstr>
      <vt:lpstr>FlxBio</vt:lpstr>
      <vt:lpstr>ExtPin</vt:lpstr>
      <vt:lpstr>ExtBio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Ben Bolen</cp:lastModifiedBy>
  <dcterms:created xsi:type="dcterms:W3CDTF">2015-06-05T18:17:20Z</dcterms:created>
  <dcterms:modified xsi:type="dcterms:W3CDTF">2026-05-06T16:28:58Z</dcterms:modified>
</cp:coreProperties>
</file>